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Skripsi\Draft Skripsi\Lampiran\"/>
    </mc:Choice>
  </mc:AlternateContent>
  <xr:revisionPtr revIDLastSave="0" documentId="13_ncr:1_{A0514D5A-81CF-4DB2-9F32-419DB0E0EDBE}" xr6:coauthVersionLast="47" xr6:coauthVersionMax="47" xr10:uidLastSave="{00000000-0000-0000-0000-000000000000}"/>
  <bookViews>
    <workbookView xWindow="-110" yWindow="-110" windowWidth="19420" windowHeight="12220" tabRatio="500" activeTab="2" xr2:uid="{00000000-000D-0000-FFFF-FFFF00000000}"/>
  </bookViews>
  <sheets>
    <sheet name="Ringkasan Evaluasi" sheetId="1" r:id="rId1"/>
    <sheet name="Detail Ground Truth" sheetId="2" r:id="rId2"/>
    <sheet name="Rekap Statistik" sheetId="3" r:id="rId3"/>
  </sheets>
  <definedNames>
    <definedName name="_xlnm._FilterDatabase" localSheetId="0" hidden="1">'Ringkasan Evaluasi'!$A$3:$W$53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F6" i="3" l="1"/>
  <c r="E7" i="3"/>
  <c r="D7" i="3"/>
  <c r="C7" i="3"/>
  <c r="B7" i="3"/>
  <c r="F7" i="3" s="1"/>
  <c r="F5" i="3"/>
  <c r="F4" i="3"/>
</calcChain>
</file>

<file path=xl/sharedStrings.xml><?xml version="1.0" encoding="utf-8"?>
<sst xmlns="http://schemas.openxmlformats.org/spreadsheetml/2006/main" count="1694" uniqueCount="619">
  <si>
    <t>INSTRUMEN GROUND TRUTH EVALUASI SISTEM BILLIE – Ringkasan Evaluasi 25 Skenario</t>
  </si>
  <si>
    <t>Tanggal Pengujian: 26 Juni 2026  |  Versi Sistem: v1.0.0  |  Profil: Hendra Wijaya (MB10207, SA) + Priya Febriani (940102, AM)  |  Total Skenario: 25  |  Total Entri: 50</t>
  </si>
  <si>
    <t>No.</t>
  </si>
  <si>
    <t>Kode
Skenario</t>
  </si>
  <si>
    <t>Judul Skenario</t>
  </si>
  <si>
    <t>Kategori</t>
  </si>
  <si>
    <t>Profil Pengguna</t>
  </si>
  <si>
    <t>Kode
Identitas</t>
  </si>
  <si>
    <t>Tipe
Sales</t>
  </si>
  <si>
    <t>Worksheet
Target</t>
  </si>
  <si>
    <t>Status
Profil</t>
  </si>
  <si>
    <t>Query Aktual</t>
  </si>
  <si>
    <t>ID Log</t>
  </si>
  <si>
    <t>Tanggal
Pengujian</t>
  </si>
  <si>
    <t>Waktu
(WIB)</t>
  </si>
  <si>
    <t>Jalur Pipeline</t>
  </si>
  <si>
    <t>Dok.
Diambil</t>
  </si>
  <si>
    <t>Ground Truth Ringkas</t>
  </si>
  <si>
    <t>Hasil Aktual Ringkas</t>
  </si>
  <si>
    <t>Latency
(ms)</t>
  </si>
  <si>
    <t>Catatan Latency</t>
  </si>
  <si>
    <t>Akurasi
Retrieval</t>
  </si>
  <si>
    <t>Akurasi
Generation</t>
  </si>
  <si>
    <t>Evaluasi
Fungsional</t>
  </si>
  <si>
    <t>Keterangan</t>
  </si>
  <si>
    <t>S01</t>
  </si>
  <si>
    <t>Akses dari Pengguna Belum Terdaftar</t>
  </si>
  <si>
    <t>Inti</t>
  </si>
  <si>
    <t>Priya Febriani</t>
  </si>
  <si>
    <t>—</t>
  </si>
  <si>
    <t>Resmi</t>
  </si>
  <si>
    <t>/start → "siapa saja pelanggan saya yang belum lunas?"</t>
  </si>
  <si>
    <t>ACL-90001</t>
  </si>
  <si>
    <t>2026-06-26</t>
  </si>
  <si>
    <t>09:14:36</t>
  </si>
  <si>
    <t>Lapisan Autentikasi</t>
  </si>
  <si>
    <t>Tidak ada retrieval; akses diblokir sebelum RAG</t>
  </si>
  <si>
    <t>Sistem menampilkan panduan /register [kode_sales]; tidak ada data ditampilkan</t>
  </si>
  <si>
    <t>N/A</t>
  </si>
  <si>
    <t>Autentikasi layer – tidak melalui pipeline percakapan</t>
  </si>
  <si>
    <t>B</t>
  </si>
  <si>
    <t>Hendra Wijaya</t>
  </si>
  <si>
    <t>Profil Tambahan</t>
  </si>
  <si>
    <t>/start → pertanyaan langsung sebelum registrasi</t>
  </si>
  <si>
    <t>ACL-180001</t>
  </si>
  <si>
    <t>10:39:26</t>
  </si>
  <si>
    <t>S02</t>
  </si>
  <si>
    <t>Kode Identitas Tidak Valid</t>
  </si>
  <si>
    <t>123456 (fiktif)</t>
  </si>
  <si>
    <t>/register 123456</t>
  </si>
  <si>
    <t>ACL-90002</t>
  </si>
  <si>
    <t>09:15:04</t>
  </si>
  <si>
    <t>Tidak ada retrieval; kode ditolak pada validasi registrasi</t>
  </si>
  <si>
    <t>Kode sales 123456 tidak ditemukan; sistem meminta ulang kode yang benar</t>
  </si>
  <si>
    <t>MB11111 (fiktif)</t>
  </si>
  <si>
    <t>/register MB11111</t>
  </si>
  <si>
    <t>ACL-180002</t>
  </si>
  <si>
    <t>10:40:11</t>
  </si>
  <si>
    <t>Kode sales MB11111 tidak ditemukan; sistem meminta ulang kode yang benar</t>
  </si>
  <si>
    <t>S03</t>
  </si>
  <si>
    <t>Manajemen Sesi Pengguna</t>
  </si>
  <si>
    <t>AM</t>
  </si>
  <si>
    <t>/register 940102 → logout → /register 940101 → /start</t>
  </si>
  <si>
    <t>ACL-90003,90004,90005,90006</t>
  </si>
  <si>
    <t>09:16:18–09:19:34</t>
  </si>
  <si>
    <t>Pemetaan chat_id ↔ 940102 bersifat permanen; upaya re-registrasi kode lain ditolak</t>
  </si>
  <si>
    <t>Logout berhasil; re-registrasi 940101 ditolak ('sudah terdaftar dengan kode 940102'); re-login via /start berhasil</t>
  </si>
  <si>
    <t>MB10207</t>
  </si>
  <si>
    <t>SA</t>
  </si>
  <si>
    <t>/register MB10207 → logout → /register MB10206 → /start</t>
  </si>
  <si>
    <t>ACL-180003,180004,180005,180006</t>
  </si>
  <si>
    <t>10:44:08–10:49:01</t>
  </si>
  <si>
    <t>Pemetaan chat_id ↔ MB10207 bersifat permanen; upaya re-registrasi kode lain ditolak</t>
  </si>
  <si>
    <t>Logout berhasil; re-registrasi MB10206 ditolak ('sudah terdaftar dengan kode MB10207'); re-login via /start berhasil</t>
  </si>
  <si>
    <t>S04</t>
  </si>
  <si>
    <t>Validasi Pengendalian Akses Lintas Pengguna</t>
  </si>
  <si>
    <t>billper + billdu</t>
  </si>
  <si>
    <t>Cek tagihan dari pelanggan Butik Rahman → Multi-SND: 2252959957</t>
  </si>
  <si>
    <t>conv-270001,270002</t>
  </si>
  <si>
    <t>15:23:23–15:25:50</t>
  </si>
  <si>
    <t>Jalur 2 SQL / Jalur 3 RAG+SQL</t>
  </si>
  <si>
    <t>IBAC: Butik Rahman &amp; SND 2252959957 adalah data Priya – harus ditolak</t>
  </si>
  <si>
    <t>Penolakan 1: 'data tidak ditemukan dalam cakupan tanggung jawab Anda'; Penolakan 2: 'SND di luar cakupan Anda'</t>
  </si>
  <si>
    <t>COLD START pada conv-270001 (23.059 ms) – latency canonical dari conv-270002</t>
  </si>
  <si>
    <t>Dua mekanisme penolakan berbeda terkonfirmasi: nama pelanggan vs. SND langsung</t>
  </si>
  <si>
    <t>Cek status tagihan dari Toko Intan Elektronik → SND: 2224106678</t>
  </si>
  <si>
    <t>conv-240010,240011</t>
  </si>
  <si>
    <t>15:03:15–15:03:38</t>
  </si>
  <si>
    <t>Jalur 3 RAG+SQL / Jalur 2 SQL</t>
  </si>
  <si>
    <t>IBAC: Toko Intan Elektronik &amp; SND 2224106678 adalah data Hendra – harus ditolak</t>
  </si>
  <si>
    <t>Warm entry – conv-240011</t>
  </si>
  <si>
    <t>Konfirmasi simetris: penolakan berlaku dari kedua arah profil</t>
  </si>
  <si>
    <t>S05</t>
  </si>
  <si>
    <t>Daftar Pelanggan Belum Lunas (billper)</t>
  </si>
  <si>
    <t>billper</t>
  </si>
  <si>
    <t>Siapa saja pelanggan saya yang belum lunas di billper?</t>
  </si>
  <si>
    <t>conv-240001</t>
  </si>
  <si>
    <t>14:51:34</t>
  </si>
  <si>
    <t>Jalur 2 SQL</t>
  </si>
  <si>
    <t>9 pelanggan belum lunas billper; total Rp 2.192.782 (detail di Sheet Detail GT)</t>
  </si>
  <si>
    <t>9 pelanggan ditampilkan: PT Bersama Dagang, Warung Valdi, Toko Intan Teknik, CV Mandiri Niaga, Toko Utama Elektronik, Toko Berkah Kesehatan, Warung Pelangi, Warung Taufan, Butik Rahman</t>
  </si>
  <si>
    <t>Warm entry</t>
  </si>
  <si>
    <t>Lihat detail di Sheet 2: Detail Ground Truth, baris S05</t>
  </si>
  <si>
    <t>[SHEET] billper (via tombol navigasi)</t>
  </si>
  <si>
    <t>conv-150001</t>
  </si>
  <si>
    <t>10:50:55</t>
  </si>
  <si>
    <t>13 pelanggan belum lunas billper; total Rp 1.586.702</t>
  </si>
  <si>
    <t>13 pelanggan ditampilkan: Salon Galih, Toko Intan Elektronik, UD Karsa Solusi, PT Sentosa Usaha, Laundry Bagas, Counter Tadjudin, UD Karsa Furnitur, Minimarket Yogi, PT Indah Tekstil, PT Cahaya Tekstil, Optik Fandi, CV Mandiri Kuliner, UD Makmur Cipta</t>
  </si>
  <si>
    <t>COLD START – excluded from median</t>
  </si>
  <si>
    <t>S06</t>
  </si>
  <si>
    <t>Tagihan Melewati Jatuh Tempo (billdu)</t>
  </si>
  <si>
    <t>billdu</t>
  </si>
  <si>
    <t>Siapa pelanggan saya yang jatuh tempo?</t>
  </si>
  <si>
    <t>conv-180001</t>
  </si>
  <si>
    <t>11:43:46</t>
  </si>
  <si>
    <t>7 pelanggan belum lunas billdu Hendra; total Rp 1.270.111 (detail di Sheet Detail GT)</t>
  </si>
  <si>
    <t>7 pelanggan ditampilkan: UD Artha Tama, UD Amanah Teknik, UD Tunas Tekstil, CV Mitra Cipta, PT Sakti Niaga, Depot Wahyu, Toko Makmur Tekstil</t>
  </si>
  <si>
    <t>COLD START – excluded from median (satu-satunya entri S06 Hendra)</t>
  </si>
  <si>
    <t>Frasa 'jatuh tempo' berhasil dipetakan ke worksheet billdu</t>
  </si>
  <si>
    <t>list pelanggan saya yang jatuh tempo</t>
  </si>
  <si>
    <t>conv-90004</t>
  </si>
  <si>
    <t>09:35:06</t>
  </si>
  <si>
    <t>6 pelanggan belum lunas billdu Priya; total Rp 2.325.330</t>
  </si>
  <si>
    <t>6 pelanggan ditampilkan: CV Jaya Tekstil, Bengkel Wahyu, UD Terpadu Jasa, Toko Abadi Kesehatan, Salon Xander, PT Jaya Tama</t>
  </si>
  <si>
    <t>S07</t>
  </si>
  <si>
    <t>Variasi Bahasa Informal pada Pertanyaan</t>
  </si>
  <si>
    <t>pelanggan gw yg nunggak billper siapa aja?</t>
  </si>
  <si>
    <t>conv-180002</t>
  </si>
  <si>
    <t>11:45:09</t>
  </si>
  <si>
    <t>13 pelanggan belum lunas billper Hendra; total Rp 1.586.702</t>
  </si>
  <si>
    <t>13 pelanggan ditampilkan (identik dengan hasil kueri formal); frasa 'nunggak' berhasil diinterpretasikan sebagai 'belum lunas'</t>
  </si>
  <si>
    <t>Lihat detail di Sheet 2: Detail Ground Truth, baris S07</t>
  </si>
  <si>
    <t>billper → billtri (perluasan)</t>
  </si>
  <si>
    <t>siapa aja pelanggan gue yang masih belum bayar tagihan billtri? / tolong perlihatkan list pelanggan saya yang belum melunasi tagihannya pada periode billtri</t>
  </si>
  <si>
    <t>conv-330005, 330006</t>
  </si>
  <si>
    <t>2026-07-03</t>
  </si>
  <si>
    <t>02:58:21</t>
  </si>
  <si>
    <t>2 BL billtri Priya: UD TUNAS BANGUNAN (Rp152.449) + PT SENTOSA KARYA (Rp142.540); total Rp294.989 — perpanjangan pengujian dari cakupan resmi billper</t>
  </si>
  <si>
    <t>1. UD TUNAS BANGUNAN (2232499129) – 2. PT SENTOSA KARYA (2253317852); Total: 2 pelanggan belum lunas; frasa informal 'billtri' berhasil diinterpretasikan sistem</t>
  </si>
  <si>
    <t>Warm entry – conv-330005 (484 ms); sesi pengujian 3 Juli 2026; menggantikan conv-60003/60004 (sesi Juni 26, berbeda hasil); sesuai Lampiran B.7 Priya</t>
  </si>
  <si>
    <t>Entri canonical diperbarui ke conv-330005 (3 Juli 2026) yang sesuai Lampiran B.7 Priya. Query informal dengan penyebutan eksplisit 'billtri' berhasil diidentifikasi sistem. Pengujian ini berada di luar cakupan resmi billper (catatan Lampiran B.7).</t>
  </si>
  <si>
    <t>S08</t>
  </si>
  <si>
    <t>Variasi Periode Tagihan</t>
  </si>
  <si>
    <t>billper/billdu/billtri</t>
  </si>
  <si>
    <t>Tampilkan pelanggan belum lunas di billper → billdu → billtri</t>
  </si>
  <si>
    <t>conv-240004,240005,240006</t>
  </si>
  <si>
    <t>14:56:09–14:56:21</t>
  </si>
  <si>
    <t>billper: 9 BL Rp2.192.782; billdu: 6 BL Rp2.325.330; billtri: 2 BL Rp294.989</t>
  </si>
  <si>
    <t>Tiga kueri terpisah berhasil mengidentifikasi worksheet masing-masing dengan benar</t>
  </si>
  <si>
    <t>Median 3 kueri: (609+616+562)/3 ≈ 596 ms; semua warm entry</t>
  </si>
  <si>
    <t>conv-180003,180004,180005</t>
  </si>
  <si>
    <t>11:45:27–11:47:02</t>
  </si>
  <si>
    <t>billper: 13 BL Rp1.586.702; billdu: 7 BL Rp1.270.111; billtri: 4 BL Rp1.675.526</t>
  </si>
  <si>
    <t>Tiga kueri berhasil mengidentifikasi worksheet masing-masing (Lampiran B.8 – profil tambahan)</t>
  </si>
  <si>
    <t>Median 3 kueri: (341+526+841)/3 ≈ 569 ms; semua warm entry</t>
  </si>
  <si>
    <t>Profil tambahan di luar cakupan resmi skenario (Lampiran B.8)</t>
  </si>
  <si>
    <t>S09</t>
  </si>
  <si>
    <t>Pencarian Berdasarkan Nama Pelanggan</t>
  </si>
  <si>
    <t>apa jenis tagihan dari Laundry Bagas?</t>
  </si>
  <si>
    <t>conv-180008</t>
  </si>
  <si>
    <t>11:49:28</t>
  </si>
  <si>
    <t>Jalur 3 RAG+SQL</t>
  </si>
  <si>
    <t>LAUNDRY BAGAS | SND 2253486941 | BELUM LUNAS | Rp101.098 | billper | PIC: Maman Wahyudi – 085820753605</t>
  </si>
  <si>
    <t>Kartu pelanggan lengkap ditampilkan: SND, PIC, nomor telepon, status, saldo, jenis tagihan</t>
  </si>
  <si>
    <t>Warm entry; percobaan ke-1 ('pa jenis tagihan...' typo Telegram, 2.412 ms) gagal → percobaan ke-2 berhasil</t>
  </si>
  <si>
    <t>Dua percobaan sebelumnya: conv-180006 (4ms, 'pertanyaan kurang spesifik') dan conv-180007 (2.412ms, gagal karena typo 'pa')</t>
  </si>
  <si>
    <t>apa status tagihan toko intan teknik?</t>
  </si>
  <si>
    <t>conv-90008</t>
  </si>
  <si>
    <t>09:38:03</t>
  </si>
  <si>
    <t>TOKO INTAN TEKNIK | SND 2263930395 | BELUM LUNAS | Rp157.058 | billper | PIC: Desy Junaedi – 085232987340</t>
  </si>
  <si>
    <t>Kartu pelanggan lengkap ditampilkan; sistem menemukan pelanggan berdasarkan nama</t>
  </si>
  <si>
    <t>Profil tambahan di luar cakupan resmi skenario</t>
  </si>
  <si>
    <t>S10</t>
  </si>
  <si>
    <t>Pencarian Berdasarkan Nomor Layanan</t>
  </si>
  <si>
    <t>SND: 2224106678</t>
  </si>
  <si>
    <t>conv-180009</t>
  </si>
  <si>
    <t>11:50:58</t>
  </si>
  <si>
    <t>PT SENTOSA USAHA | SND 2224106678 | BELUM LUNAS | Rp121.687 | billper | PIC: Evan Cahyadi – 085202423893</t>
  </si>
  <si>
    <t>Kartu STATUS TAGIHAN PELANGGAN lengkap ditampilkan berdasarkan SND langsung</t>
  </si>
  <si>
    <t>SND: 131805662300</t>
  </si>
  <si>
    <t>conv-90009</t>
  </si>
  <si>
    <t>09:40:11</t>
  </si>
  <si>
    <t>SALON XANDER | SND 131805662300 | BELUM LUNAS | Rp70.888 | billdu | PIC: Tina Subagyo – 081350123506</t>
  </si>
  <si>
    <t>Kartu STATUS TAGIHAN PELANGGAN lengkap ditampilkan</t>
  </si>
  <si>
    <t>Profil tambahan; satu-satunya entri S10 untuk Priya</t>
  </si>
  <si>
    <t>S11</t>
  </si>
  <si>
    <t>Permintaan Jumlah Tagihan (Agregasi)</t>
  </si>
  <si>
    <t>billper+billdu+billtri</t>
  </si>
  <si>
    <t>[MENU] Ringkasan Saya</t>
  </si>
  <si>
    <t>conv-90007</t>
  </si>
  <si>
    <t>09:37:07</t>
  </si>
  <si>
    <t>Total 36 pelanggan; 17 BL Rp4.813.101 (9 billper + 6 billdu + 2 billtri)</t>
  </si>
  <si>
    <t>RINGKASAN TAGIHAN ANDA: Total 36 pelanggan, 17 BL (47,2%), Rp4.813.101; tagihan terbesar PT Bersama Dagang Rp1.352.312</t>
  </si>
  <si>
    <t>conv-180010</t>
  </si>
  <si>
    <t>11:51:00</t>
  </si>
  <si>
    <t>Total 42 pelanggan; 24 BL Rp4.532.339 (13 billper + 7 billdu + 4 billtri)</t>
  </si>
  <si>
    <t>RINGKASAN TAGIHAN ANDA: Total 42 pelanggan, 24 BL (57,1%), Rp4.532.339; tagihan terbesar Klinik Maman Rp869.964 (billtri)</t>
  </si>
  <si>
    <t>S12</t>
  </si>
  <si>
    <t>Pertanyaan dari Satu Lembar Kerja</t>
  </si>
  <si>
    <t>Tampilkan semua list pelanggan saya yang belum lunas maupun lunas pada periode billper</t>
  </si>
  <si>
    <t>conv-180011</t>
  </si>
  <si>
    <t>11:54:00</t>
  </si>
  <si>
    <t>18 pelanggan billper Hendra: 13 BL + 5 Lunas (detail di Sheet Detail GT)</t>
  </si>
  <si>
    <t>13 BL ditampilkan → separator → 5 LUNAS ditampilkan (Cafe Pelangi, CV Sejahtera Kuliner, CV Setia Teknik, PT Sinergi Tekstil, RS Karya Husada)</t>
  </si>
  <si>
    <t>Lihat detail di Sheet 2: Detail Ground Truth, baris S12</t>
  </si>
  <si>
    <t>tampilkan semua list pelanggan saya yang lunas dan belum lunas pada tagihan billper</t>
  </si>
  <si>
    <t>conv-390002</t>
  </si>
  <si>
    <t>03:31:14</t>
  </si>
  <si>
    <t>17 pelanggan billper Priya: 9 BL Rp2.192.782 + 8 LUNAS Rp1.384.914; total 17 pelanggan (detail di Sheet 2)</t>
  </si>
  <si>
    <t>9 BL billper ditampilkan → separator → 8 LUNAS billper ditampilkan (Depot Gading, Studio Zulkifli, PT Global Teknologi, Toko Setia Tama, PT Asri Furnitur, UD Mandiri Pangan, UD Harmoni Solusi, Toko Sejahtera Bangunan)</t>
  </si>
  <si>
    <t>Warm entry – conv-390002 (772 ms); sesi pengujian 3 Juli 2026; menggantikan ID log perkiraan 'conv-60003 (lanjutan)' yang sebelumnya digunakan sebagai estimasi karena entri terukur belum tersedia</t>
  </si>
  <si>
    <t>ID Log diperbarui ke conv-390002 (sesi 3 Juli 2026, 772 ms) dengan query S12 yang tepat dan latency terukur, menggantikan estimasi 'conv-60003 (lanjutan)' yang tidak akurat.</t>
  </si>
  <si>
    <t>S13</t>
  </si>
  <si>
    <t>Pertanyaan Lintas Dua Lembar Kerja</t>
  </si>
  <si>
    <t>billper+billdu</t>
  </si>
  <si>
    <t>Tampilkan pelanggan saya yang belum lunas dari billper dan billdu</t>
  </si>
  <si>
    <t>conv-240007</t>
  </si>
  <si>
    <t>14:57:57</t>
  </si>
  <si>
    <t>15 BL: 9 billper Rp2.192.782 + 6 billdu Rp2.325.330; total Rp4.518.112 (detail di Sheet Detail GT)</t>
  </si>
  <si>
    <t>GABUNGAN BILLDU + BILLPER – 15 pelanggan ditampilkan dengan label worksheet per entri</t>
  </si>
  <si>
    <t>Lihat detail di Sheet 2: Detail Ground Truth, baris S13</t>
  </si>
  <si>
    <t>billper+billtri</t>
  </si>
  <si>
    <t>Tampilkan pelanggan saya yang belum lunas dari billper dan billtri</t>
  </si>
  <si>
    <t>conv-180012</t>
  </si>
  <si>
    <t>11:56:10</t>
  </si>
  <si>
    <t>Respons: GABUNGAN BILLTRI + BILLPER (kombinasi di luar cakupan resmi billper+billdu)</t>
  </si>
  <si>
    <t>GABUNGAN BILLTRI + BILLPER – sistem berhasil menggabungkan dua worksheet meski bukan kombinasi resmi</t>
  </si>
  <si>
    <t>Kombinasi billper+billtri (bukan billper+billdu resmi) – dicatat di Lampiran B.13 sebagai kombinasi berbeda</t>
  </si>
  <si>
    <t>S14</t>
  </si>
  <si>
    <t>Pertanyaan Lintas Tiga Lembar Kerja</t>
  </si>
  <si>
    <t>[MENU] Cari Pelanggan → Keseluruhan (Semua Kategori)</t>
  </si>
  <si>
    <t>conv-180013</t>
  </si>
  <si>
    <t>11:57:00</t>
  </si>
  <si>
    <t>24 BL Hendra lintas 3 WS: 13 billper Rp1.586.702 + 7 billdu Rp1.270.111 + 4 billtri Rp1.675.526; total Rp4.532.339 (detail di Sheet Detail GT)</t>
  </si>
  <si>
    <t>KESELURUHAN (Semua Kategori) – 24 pelanggan BL ditampilkan dengan label worksheet per entri</t>
  </si>
  <si>
    <t>Lihat detail di Sheet 2: Detail Ground Truth, baris S14</t>
  </si>
  <si>
    <t>conv-90002 / conv-240003</t>
  </si>
  <si>
    <t>09:33 / 14:53</t>
  </si>
  <si>
    <t>17 BL Priya lintas 3 WS; total Rp4.813.101</t>
  </si>
  <si>
    <t>KESELURUHAN (Semua Kategori) – 17 pelanggan BL Priya ditampilkan</t>
  </si>
  <si>
    <t>Warm entry (conv-240003: 755 ms)</t>
  </si>
  <si>
    <t>S15</t>
  </si>
  <si>
    <t>Pencarian Multi-Nomor Layanan</t>
  </si>
  <si>
    <t>Multi-SND: 131899161850, 2224106678</t>
  </si>
  <si>
    <t>conv-180014</t>
  </si>
  <si>
    <t>12:00:00</t>
  </si>
  <si>
    <t>SND 131899161850: KLINIK MAMAN | BL | Rp869.964 | billtri | PIC: Anis Cahyadi
SND 2224106678: PT SENTOSA USAHA | BL | Rp121.687 | billper | PIC: Evan Cahyadi</t>
  </si>
  <si>
    <t>Dua kartu STATUS TAGIHAN PELANGGAN ditampilkan dalam satu respons; total Rp991.651</t>
  </si>
  <si>
    <t>Multi-SND: 131748674163, 2253942072</t>
  </si>
  <si>
    <t>conv-120001</t>
  </si>
  <si>
    <t>09:54:25</t>
  </si>
  <si>
    <t>SND 131748674163: TOKO SEJAHTERA BANGUNAN | LUNAS | Rp7.529 | billper
SND 2253942072: BUTIK RAHMAN | BL | Rp23.205 | billper</t>
  </si>
  <si>
    <t>Dua kartu ditampilkan; sistem berhasil menangani SND dari status berbeda (lunas+BL)</t>
  </si>
  <si>
    <t>Profil tambahan; ini satu-satunya entri S15 untuk Priya</t>
  </si>
  <si>
    <t>S16</t>
  </si>
  <si>
    <t>Pencarian Berdasarkan Atribut Spesifik (PIC)</t>
  </si>
  <si>
    <t>Siapa PIC dari butik rahman?</t>
  </si>
  <si>
    <t>conv-240008</t>
  </si>
  <si>
    <t>14:59:22</t>
  </si>
  <si>
    <t>BUTIK RAHMAN | SND 2253942072 | BL | Rp23.205 | PIC: Bekti Susanto – 085661898987 | PSB INET 50 MBPS</t>
  </si>
  <si>
    <t>Kartu lengkap ditampilkan termasuk PIC dan nomor telepon; atribut nonstandar (PIC) berhasil diambil</t>
  </si>
  <si>
    <t>Siapa PIC dari Toko Intan Elektronik?</t>
  </si>
  <si>
    <t>conv-180015</t>
  </si>
  <si>
    <t>12:01:28</t>
  </si>
  <si>
    <t>TOKO INTAN ELEKTRONIK | SND 2246952558 | BL | Rp379.102 | PIC: Sinta Zaenuri – 081307283947</t>
  </si>
  <si>
    <t>Kartu lengkap ditampilkan termasuk PIC; atribut nonstandar berhasil diambil</t>
  </si>
  <si>
    <t>S17</t>
  </si>
  <si>
    <t>Pertanyaan di Luar Cakupan Data</t>
  </si>
  <si>
    <t>Tepi</t>
  </si>
  <si>
    <t>Bagaimana perkiraan cuaca hari ini?</t>
  </si>
  <si>
    <t>conv-180016</t>
  </si>
  <si>
    <t>12:03:12</t>
  </si>
  <si>
    <t>Jalur 4 RAG+GPT-4o mini</t>
  </si>
  <si>
    <t>Tidak ada retrieval; sistem harus merespons penolakan kontekstual dengan contoh kueri valid</t>
  </si>
  <si>
    <t>Sistem merespons: 'Maaf, saya hanya dapat membantu untuk informasi tagihan pelanggan' + 3 contoh kueri valid</t>
  </si>
  <si>
    <t>bagaimana cuaca hari ini?</t>
  </si>
  <si>
    <t>conv-120008</t>
  </si>
  <si>
    <t>10:00:26</t>
  </si>
  <si>
    <t>Tidak ada retrieval; sistem harus merespons penolakan kontekstual</t>
  </si>
  <si>
    <t>Respons identik dengan Hendra: 'Maaf, saya hanya dapat membantu...' + contoh kueri</t>
  </si>
  <si>
    <t>S18</t>
  </si>
  <si>
    <t>Konteks Waktu Ambigu</t>
  </si>
  <si>
    <t>— (handler khusus)</t>
  </si>
  <si>
    <t>siapa pelanggan saya yang paling lama belum lunas?</t>
  </si>
  <si>
    <t>conv-120007</t>
  </si>
  <si>
    <t>09:59:56</t>
  </si>
  <si>
    <t>Jalur 5 Handler Waktu</t>
  </si>
  <si>
    <t>Handler temporal menangani kueri – tidak ada retrieval; respons berupa penjelasan keterbatasan data historis</t>
  </si>
  <si>
    <t>Respons: 'Data historis tidak tersedia' + 3 alternatif bantuan (daftar BL, saldo terbesar, ringkasan per kategori)</t>
  </si>
  <si>
    <t>Handler khusus bypass LLM (0 ms)</t>
  </si>
  <si>
    <t>P</t>
  </si>
  <si>
    <t>Parsial pada lapisan Generation: respons informatif namun tidak dapat menjawab niat asal; konsekuensi desain by design</t>
  </si>
  <si>
    <t>— (general handler)</t>
  </si>
  <si>
    <t>berapa tagihan pelanggan saya pada bulan Januari?</t>
  </si>
  <si>
    <t>conv-450001</t>
  </si>
  <si>
    <t>04:02:36</t>
  </si>
  <si>
    <t>Jalur 5 Handler Periode (s3_period_unavailable)</t>
  </si>
  <si>
    <t>Variasi temporal: periode Januari tidak tersedia (sistem hanya menyimpan data April)</t>
  </si>
  <si>
    <t>Respons: '⚠️ Data periode Januari tidak tersedia — Sistem saat ini hanya menyimpan data tagihan periode April' + panduan query yang valid; identik dengan Priya S18</t>
  </si>
  <si>
    <t>Handler khusus s3_period_unavailable (0 ms = bypass LLM); sesi pengujian 3 Juli 2026; identik dengan Priya S18 (conv-120007, 0 ms)</t>
  </si>
  <si>
    <t>Handler s3_period_unavailable aktif pada sesi 3 Juli 2026, identik dengan Priya S18. Entri lama conv-180017 (Juni 26, 5.450 ms, Jalur 4 RAG+GPT, respons 'Data tidak tersedia') mencerminkan kondisi sebelum handler ini ditambahkan; entri conv-450001 (Jalur 5, 0 ms) sesuai Lampiran C.1 Hendra.</t>
  </si>
  <si>
    <t>S19</t>
  </si>
  <si>
    <t>Pertanyaan dengan Kesalahan Ketik</t>
  </si>
  <si>
    <t>billtri</t>
  </si>
  <si>
    <t>berapa jumlah pelanggna saya yg belom bayar billtri?</t>
  </si>
  <si>
    <t>conv-180018</t>
  </si>
  <si>
    <t>12:06:14</t>
  </si>
  <si>
    <t>4 BL billtri Hendra: Klinik Maman, CV Unggul Bandung, Toko Andalan Furnitur, Travel Agent Bumi Wisata; total Rp1.675.526</t>
  </si>
  <si>
    <t>4 pelanggan ditampilkan dengan benar meski query mengandung typo ganda ('pelanggna', 'belom')</t>
  </si>
  <si>
    <t>Keseluruhan</t>
  </si>
  <si>
    <t>brpa pelanggn saya yg belum baysr?</t>
  </si>
  <si>
    <t>conv-90001</t>
  </si>
  <si>
    <t>09:33:00</t>
  </si>
  <si>
    <t>Keseluruhan 17 BL Priya lintas 3 WS; total Rp4.813.101</t>
  </si>
  <si>
    <t>Sheet selector ditampilkan → pilih 'all' → 17 BL; sistem berhasil memahami typo dan menampilkan keseluruhan</t>
  </si>
  <si>
    <t>Warm entry (conv-90001)</t>
  </si>
  <si>
    <t>Profil tambahan; percobaan pertama melalui jalur general (9.397 ms) — bukan cold start; kueri dirutekan ke pipeline umum sebelum normalisasi input diterapkan → percobaan kedua via SQL (849 ms)</t>
  </si>
  <si>
    <t>S20</t>
  </si>
  <si>
    <t>Respons terhadap Volume Data Besar</t>
  </si>
  <si>
    <t>Tolong buatkan list dari pelanggan saya yang sudah lunas dan belum pada semua periode</t>
  </si>
  <si>
    <t>42 pelanggan Hendra (18 Lunas + 24 BL) lintas 3 WS; detail lihat Sheet Detail GT</t>
  </si>
  <si>
    <t>24 BL + 18 LUNAS ditampilkan; sistem berhasil menangani volume 42 entri tanpa pemotongan</t>
  </si>
  <si>
    <t>Lihat detail di Sheet 2: Detail Ground Truth, baris S20</t>
  </si>
  <si>
    <t>tampilkan semua data pelanggan saya pada jenis tagihan billdu baik yang lunas maupun belum lunas</t>
  </si>
  <si>
    <t>conv-120004</t>
  </si>
  <si>
    <t>09:57:36</t>
  </si>
  <si>
    <t>12 pelanggan billdu Priya (6 Lunas + 6 BL); total tagihan BL Rp2.325.330</t>
  </si>
  <si>
    <t>12 pelanggan ditampilkan (CV Jaya Tekstil, Bengkel Wahyu, UD Terpadu Jasa, Toko Abadi Kesehatan, Salon Xander, PT Jaya Tama [BL] + 6 lunas)</t>
  </si>
  <si>
    <t>Profil tambahan; scope billdu saja berbeda dari Hendra yang mencakup 3 WS</t>
  </si>
  <si>
    <t>S21</t>
  </si>
  <si>
    <t>Pertanyaan Beruntun Cepat</t>
  </si>
  <si>
    <t>[1] Daftar billper saya → [2] Siapa PIC dari Depot Wahyu → [3] Berapa total saldo saya?</t>
  </si>
  <si>
    <t>conv-210003,210004,210005</t>
  </si>
  <si>
    <t>12:19:14–12:19:22</t>
  </si>
  <si>
    <t>Jalur 2 SQL / 3 RAG+SQL</t>
  </si>
  <si>
    <t>[1] 13 BL billper; [2] PIC Depot Wahyu: Sari Santoso 085840447501; [3] Total Rp4.532.339</t>
  </si>
  <si>
    <t>[1] 13 pelanggan BL billper ✓; [2] Kartu Depot Wahyu dengan PIC ✓; [3] Ringkasan saldo Rp4.532.339 dengan 3 saldo terbesar ✓</t>
  </si>
  <si>
    <t>Median 3 kueri: (247+2835+438)/3 ≈ 1173 ms; dipakai konv-210003=247ms sebagai referensi tercepat – 3 kueri dalam 8 detik</t>
  </si>
  <si>
    <t>Tiga kueri berbeda jenis (daftar, PIC, saldo) dikirim berurutan dalam 8 detik tanpa interferensi antarrespons</t>
  </si>
  <si>
    <t>berapa total saldo tunggakan pelanggan saya → tampilkan tagihan billdu → PT Sentosa Karya</t>
  </si>
  <si>
    <t>conv-120014,120016,120015</t>
  </si>
  <si>
    <t>10:10:33–10:10:43</t>
  </si>
  <si>
    <t>Saldo total Rp4.813.101 → 6 BL billdu → Kartu PT Sentosa Karya</t>
  </si>
  <si>
    <t>Tiga respons koheren: total saldo ✓; list billdu BL ✓; kartu PT Sentosa Karya ✓</t>
  </si>
  <si>
    <t>Median 3 kueri (817+616+4503)/3; dipilih 738ms = median</t>
  </si>
  <si>
    <t>S22</t>
  </si>
  <si>
    <t>Keterbatasan Arsitektur pada Percakapan Berlapis</t>
  </si>
  <si>
    <t>Turn 1: Tampilkan pelanggan billper saya → Turn 2: Yang itu berapa totalnya?</t>
  </si>
  <si>
    <t>conv-210006,210007</t>
  </si>
  <si>
    <t>12:21:04–12:21</t>
  </si>
  <si>
    <t>Jalur 2 SQL / Jalur 5 Handler Pronomen</t>
  </si>
  <si>
    <t>Turn 1: 13 BL billper ✓; Turn 2: pronomina 'itu' tidak dapat diresolusi (arsitektur stateless)</t>
  </si>
  <si>
    <t>Turn 1: 13 BL billper ditampilkan ✓; Turn 2: 'Konteks percakapan tidak tersimpan – sebutkan nama pelanggan atau SND secara langsung'</t>
  </si>
  <si>
    <t>Median: (535+820)/2=678 ms</t>
  </si>
  <si>
    <t>Parsial pada lapisan Fungsional &amp; Generation: keterbatasan arsitektur stateless yang disengaja (by design) – bukan kegagalan komponen</t>
  </si>
  <si>
    <t>Turn 1: siapa saja pelanggan saya yang belum lunas di billtri? → Turn 2: berapa total tagihan saldonya?</t>
  </si>
  <si>
    <t>conv-570002, 570003</t>
  </si>
  <si>
    <t>04:50:03–04:50:17</t>
  </si>
  <si>
    <t>Turn 1: 2 BL billtri Priya (UD TUNAS BANGUNAN + PT SENTOSA KARYA); Turn 2: pronomina 'saldonya' tidak dapat diresolusi oleh arsitektur stateless</t>
  </si>
  <si>
    <t>Turn 1: 2 BL billtri ✓ (UD TUNAS BANGUNAN + PT SENTOSA KARYA); Turn 2: 'Konteks percakapan tidak tersimpan – sebutkan nama pelanggan atau SND secara langsung'</t>
  </si>
  <si>
    <t>Median Turn 1 (conv-570002: 1.653 ms) + Turn 2 (conv-570003: 1.475 ms) = 1.564 ms; sesi 3 Juli 2026; menggantikan conv-90005/90009 yang tidak representatif sebagai pasangan multi-turn</t>
  </si>
  <si>
    <t>Pola identik dengan S22 Hendra: Turn 1 berhasil menampilkan 2 BL billtri, Turn 2 pronomina 'saldonya' tidak dapat diresolusi oleh arsitektur stateless. Entri diperbarui dari conv-90005/90009 (tidak merepresentasikan multi-turn) ke conv-570002/570003 (sesi 3 Juli 2026, sesuai Lampiran C.6 Priya).</t>
  </si>
  <si>
    <t>S23</t>
  </si>
  <si>
    <t>Pertanyaan Dua Bahasa (Bilingual)</t>
  </si>
  <si>
    <t>show my customers who haven't paid within the billtri period</t>
  </si>
  <si>
    <t>conv-120013</t>
  </si>
  <si>
    <t>10:08:52</t>
  </si>
  <si>
    <t>2 BL billtri Priya: UD Tunas Bangunan Rp152.449 + PT Sentosa Karya Rp142.540; total Rp294.989</t>
  </si>
  <si>
    <t>1. UD TUNAS BANGUNAN – 2. PT SENTOSA KARYA; Total: 2 pelanggan belum lunas (respons dalam Bahasa Indonesia)</t>
  </si>
  <si>
    <t>Show my unpaid customers billdu</t>
  </si>
  <si>
    <t>conv-210008</t>
  </si>
  <si>
    <t>12:22:05</t>
  </si>
  <si>
    <t>7 BL billdu Hendra: UD Artha Tama, UD Amanah Teknik, UD Tunas Tekstil, CV Mitra Cipta, PT Sakti Niaga, Depot Wahyu, Toko Makmur Tekstil; total Rp1.270.111</t>
  </si>
  <si>
    <t>7 pelanggan BL billdu ditampilkan (respons dalam Bahasa Indonesia); query bahasa Inggris berhasil diidentifikasi</t>
  </si>
  <si>
    <t>Profil tambahan; worksheet billdu berbeda dari billtri resmi (Lampiran C.7)</t>
  </si>
  <si>
    <t>S24</t>
  </si>
  <si>
    <t>Manajemen Sapaan dan Respons Kontekstual</t>
  </si>
  <si>
    <t>Halo Billie</t>
  </si>
  <si>
    <t>conv-210009</t>
  </si>
  <si>
    <t>12:23:11</t>
  </si>
  <si>
    <t>Jalur 5 Handler Sapaan</t>
  </si>
  <si>
    <t>Tidak ada retrieval; respons sapaan kontekstual menyebutkan nama pengguna + 4 contoh kueri</t>
  </si>
  <si>
    <t>Respons: 'Halo, Hendra Wijaya! 👋 Saya Billie...' + contoh kueri operasional</t>
  </si>
  <si>
    <t>halo selamat sore</t>
  </si>
  <si>
    <t>conv-60001</t>
  </si>
  <si>
    <t>09:19:55</t>
  </si>
  <si>
    <t>Tidak ada retrieval; respons sapaan kontekstual menyebutkan nama pengguna</t>
  </si>
  <si>
    <t>Respons: 'Halo, Priya Febriani! 👋 Saya Billie...' + contoh kueri</t>
  </si>
  <si>
    <t>S25</t>
  </si>
  <si>
    <t>Pencarian Nomor Layanan yang Tidak Terdaftar</t>
  </si>
  <si>
    <t>SND: 782638160</t>
  </si>
  <si>
    <t>conv-210011</t>
  </si>
  <si>
    <t>12:25:01</t>
  </si>
  <si>
    <t>SND 782638160 tidak terdaftar di seluruh data (terverifikasi di 3 WS × 1.550 baris)</t>
  </si>
  <si>
    <t>Respons: 'SND tidak ditemukan – Nomor 782638160 tidak terdaftar di sistem' + saran cek ulang / Google Sheets</t>
  </si>
  <si>
    <t>Pesan berbeda dari S04 ('SND di luar cakupan') – membuktikan sistem membedakan SND tidak ada vs. di luar tanggung jawab</t>
  </si>
  <si>
    <t>cek snd 01234567892</t>
  </si>
  <si>
    <t>conv-120006</t>
  </si>
  <si>
    <t>09:59:25</t>
  </si>
  <si>
    <t>SND 01234567892 tidak terdaftar di seluruh data</t>
  </si>
  <si>
    <t>Respons: 'SND tidak ditemukan – Nomor 01234567892 tidak terdaftar di sistem'</t>
  </si>
  <si>
    <t>DETAIL GROUND TRUTH PER SKENARIO – Skenario dengan Data Multi-Pelanggan</t>
  </si>
  <si>
    <t>Kode Skenario</t>
  </si>
  <si>
    <t>Profil</t>
  </si>
  <si>
    <t>Nama Pelanggan</t>
  </si>
  <si>
    <t>No. Layanan</t>
  </si>
  <si>
    <t>Status</t>
  </si>
  <si>
    <t>Saldo (Rp)</t>
  </si>
  <si>
    <t>Worksheet</t>
  </si>
  <si>
    <t>Paket</t>
  </si>
  <si>
    <t>S05 / S07 / S12 – Billper Belum Lunas (Hendra Wijaya, 13 pelanggan)</t>
  </si>
  <si>
    <t>S05/S07/S12</t>
  </si>
  <si>
    <t>Hendra</t>
  </si>
  <si>
    <t>SALON GALIH</t>
  </si>
  <si>
    <t>BELUM LUNAS</t>
  </si>
  <si>
    <t>TOKO INTAN ELEKTRONIK</t>
  </si>
  <si>
    <t>UD KARSA SOLUSI</t>
  </si>
  <si>
    <t>PT SENTOSA USAHA</t>
  </si>
  <si>
    <t>LAUNDRY BAGAS</t>
  </si>
  <si>
    <t>COUNTER TADJUDIN</t>
  </si>
  <si>
    <t>UD KARSA FURNITUR</t>
  </si>
  <si>
    <t>MINIMARKET YOGI</t>
  </si>
  <si>
    <t>PT INDAH TEKSTIL</t>
  </si>
  <si>
    <t>PT CAHAYA TEKSTIL</t>
  </si>
  <si>
    <t>OPTIK FANDI</t>
  </si>
  <si>
    <t>CV MANDIRI KULINER</t>
  </si>
  <si>
    <t>UD MAKMUR CIPTA</t>
  </si>
  <si>
    <t>S12 – Billper Lunas (Hendra Wijaya, 5 pelanggan)</t>
  </si>
  <si>
    <t>CAFE PELANGI</t>
  </si>
  <si>
    <t>LUNAS</t>
  </si>
  <si>
    <t>RS KARYA HUSADA</t>
  </si>
  <si>
    <t>CV SEJAHTERA KULINER</t>
  </si>
  <si>
    <t>PT SINERGI TEKSTIL</t>
  </si>
  <si>
    <t>CV SETIA TEKNIK</t>
  </si>
  <si>
    <t>S05 / S13 – Billper Belum Lunas (Priya Febriani, 9 pelanggan)</t>
  </si>
  <si>
    <t>S05/S13</t>
  </si>
  <si>
    <t>Priya</t>
  </si>
  <si>
    <t>PT BERSAMA DAGANG</t>
  </si>
  <si>
    <t>PSB INET 150 MBPS</t>
  </si>
  <si>
    <t>WARUNG VALDI</t>
  </si>
  <si>
    <t>2P INET PHONE 100MBPS</t>
  </si>
  <si>
    <t>TOKO INTAN TEKNIK</t>
  </si>
  <si>
    <t>CV MANDIRI NIAGA</t>
  </si>
  <si>
    <t>TOKO UTAMA ELEKTRONIK</t>
  </si>
  <si>
    <t>HSI BISNIS 100MBPS</t>
  </si>
  <si>
    <t>TOKO BERKAH KESEHATAN</t>
  </si>
  <si>
    <t>PSB INET 100 MBPS</t>
  </si>
  <si>
    <t>WARUNG PELANGI</t>
  </si>
  <si>
    <t>PSB INET 50 MBPS</t>
  </si>
  <si>
    <t>WARUNG TAUFAN</t>
  </si>
  <si>
    <t>BUTIK RAHMAN</t>
  </si>
  <si>
    <t>S06 / S14 – Billdu Belum Lunas (Hendra Wijaya, 7 pelanggan)</t>
  </si>
  <si>
    <t>S06/S14</t>
  </si>
  <si>
    <t>UD ARTHA TAMA</t>
  </si>
  <si>
    <t>UD AMANAH TEKNIK</t>
  </si>
  <si>
    <t>CV MITRA CIPTA</t>
  </si>
  <si>
    <t>UD TUNAS TEKSTIL</t>
  </si>
  <si>
    <t>PT SAKTI NIAGA</t>
  </si>
  <si>
    <t>DEPOT WAHYU</t>
  </si>
  <si>
    <t>TOKO MAKMUR TEKSTIL</t>
  </si>
  <si>
    <t>S06 / S13 – Billdu Belum Lunas (Priya Febriani, 6 pelanggan)</t>
  </si>
  <si>
    <t>S06/S13</t>
  </si>
  <si>
    <t>CV JAYA TEKSTIL</t>
  </si>
  <si>
    <t>1P INET 75MBPS</t>
  </si>
  <si>
    <t>BENGKEL WAHYU</t>
  </si>
  <si>
    <t>UD TERPADU JASA</t>
  </si>
  <si>
    <t>TOKO ABADI KESEHATAN</t>
  </si>
  <si>
    <t>SALON XANDER</t>
  </si>
  <si>
    <t>PT JAYA TAMA</t>
  </si>
  <si>
    <t>S14 / S19 – Billtri Belum Lunas (Hendra Wijaya, 4 pelanggan)</t>
  </si>
  <si>
    <t>S14/S19</t>
  </si>
  <si>
    <t>KLINIK MAMAN</t>
  </si>
  <si>
    <t>CV UNGGUL BANDUNG</t>
  </si>
  <si>
    <t>TOKO ANDALAN FURNITUR</t>
  </si>
  <si>
    <t>TRAVEL AGENT BUMI WISATA</t>
  </si>
  <si>
    <t>S23 – Billtri Belum Lunas (Priya Febriani, 2 pelanggan)</t>
  </si>
  <si>
    <t>UD TUNAS BANGUNAN</t>
  </si>
  <si>
    <t>PT SENTOSA KARYA</t>
  </si>
  <si>
    <t>S12 – Billper LUNAS (Priya Febriani, 8 pelanggan) – profil tambahan S12</t>
  </si>
  <si>
    <t>DEPOT GADING</t>
  </si>
  <si>
    <t>STUDIO ZULKIFLI</t>
  </si>
  <si>
    <t>PT GLOBAL TEKNOLOGI</t>
  </si>
  <si>
    <t>TOKO SETIA TAMA</t>
  </si>
  <si>
    <t>PT ASRI FURNITUR</t>
  </si>
  <si>
    <t>UD MANDIRI PANGAN</t>
  </si>
  <si>
    <t>UD HARMONI SOLUSI</t>
  </si>
  <si>
    <t>TOKO SEJAHTERA BANGUNAN</t>
  </si>
  <si>
    <t>S20 – Billdu LUNAS (Hendra Wijaya, 6 pelanggan)</t>
  </si>
  <si>
    <t>STUDIO BAYU</t>
  </si>
  <si>
    <t>KLINIK BAYU</t>
  </si>
  <si>
    <t>PT UNGGUL USAHA</t>
  </si>
  <si>
    <t>PT WIDYA SOLUSI</t>
  </si>
  <si>
    <t>CV AGUNG USAHA</t>
  </si>
  <si>
    <t>S20 – Billtri LUNAS (Hendra Wijaya, 7 pelanggan)</t>
  </si>
  <si>
    <t>CV MANDIRI TEKNOLOGI</t>
  </si>
  <si>
    <t>UD ABADI PANGAN</t>
  </si>
  <si>
    <t>PERCETAKAN UDIN</t>
  </si>
  <si>
    <t>CV MAJU TEKSTIL</t>
  </si>
  <si>
    <t>PT UNGGUL SOLUSI</t>
  </si>
  <si>
    <t>BUTIK JABIR</t>
  </si>
  <si>
    <t>S20 – Billdu LUNAS (Priya Febriani, 6 pelanggan) – profil tambahan S20</t>
  </si>
  <si>
    <t>CV MEKAR BANDUNG</t>
  </si>
  <si>
    <t>WORKSHOP UTARI</t>
  </si>
  <si>
    <t>PT INDAH USAHA</t>
  </si>
  <si>
    <t>APOTEK HERI</t>
  </si>
  <si>
    <t>CV DHARMA NIAGA</t>
  </si>
  <si>
    <t>LAUNDRY ILHAM</t>
  </si>
  <si>
    <t>REKAP STATISTIK EVALUASI – Tabel 4.11 BAB IV</t>
  </si>
  <si>
    <t>Sumber: Tabel 4.6 + 4.7 + 4.8 + 4.9 – Hasil Evaluasi Sistem Billie, 2026</t>
  </si>
  <si>
    <t>Lapisan Evaluasi</t>
  </si>
  <si>
    <t>Berhasil (✓)</t>
  </si>
  <si>
    <t>Parsial (⚠)</t>
  </si>
  <si>
    <t>Gagal (✗)</t>
  </si>
  <si>
    <t>Jumlah</t>
  </si>
  <si>
    <t>Tk. Keberhasilan (%)</t>
  </si>
  <si>
    <t>Evaluasi Fungsional (Tabel 4.6 + 4.7)</t>
  </si>
  <si>
    <t>Parsial: S22 (percakapan berlapis – by design)</t>
  </si>
  <si>
    <t>Lapisan Retrieval (Tabel 4.8 + 4.9)</t>
  </si>
  <si>
    <t>Semua 25 skenario berhasil pada lapisan routing/retrieval</t>
  </si>
  <si>
    <t>Lapisan Generation (Tabel 4.8 + 4.9)</t>
  </si>
  <si>
    <t>Parsial: S18 (konteks waktu) + S22 (percakapan berlapis)</t>
  </si>
  <si>
    <t>Rata-rata Gabungan</t>
  </si>
  <si>
    <t>PEMETAAN KODE SKENARIO: Internal JSON (scenario_summary.json) → Kode Resmi GT PDF</t>
  </si>
  <si>
    <t>Kode JSON</t>
  </si>
  <si>
    <t>Nama di JSON</t>
  </si>
  <si>
    <t>Kode GT PDF</t>
  </si>
  <si>
    <t>Nama Resmi di GT PDF</t>
  </si>
  <si>
    <t>Profil Resmi</t>
  </si>
  <si>
    <t>Catatan</t>
  </si>
  <si>
    <t>S1</t>
  </si>
  <si>
    <t>Daftar pelanggan belum lunas (billper)</t>
  </si>
  <si>
    <t>Daftar BL billper / Variasi Bahasa / Satu Lembar Kerja</t>
  </si>
  <si>
    <t>Priya (S05), Hendra (S07, S12)</t>
  </si>
  <si>
    <t>S1 JSON mencakup beberapa skenario GT</t>
  </si>
  <si>
    <t>S2</t>
  </si>
  <si>
    <t>Variasi bahasa dan parafrasa</t>
  </si>
  <si>
    <t>S3</t>
  </si>
  <si>
    <t>Variasi periode tagihan</t>
  </si>
  <si>
    <t>S4</t>
  </si>
  <si>
    <t>Pencarian berdasarkan nama pelanggan</t>
  </si>
  <si>
    <t>S5</t>
  </si>
  <si>
    <t>Pencarian berdasarkan SND</t>
  </si>
  <si>
    <t>Tidak terdeteksi otomatis – ditemukan manual (ID 180009)</t>
  </si>
  <si>
    <t>S6</t>
  </si>
  <si>
    <t>Pertanyaan dengan typo</t>
  </si>
  <si>
    <t>S7</t>
  </si>
  <si>
    <t>Tagihan jatuh tempo (billdu)</t>
  </si>
  <si>
    <t>S8</t>
  </si>
  <si>
    <t>Konteks waktu ambigu</t>
  </si>
  <si>
    <t>S9</t>
  </si>
  <si>
    <t>Permintaan agregasi</t>
  </si>
  <si>
    <t>Akses pengguna belum terdaftar</t>
  </si>
  <si>
    <t>Kode identitas tidak valid</t>
  </si>
  <si>
    <t>Pendaftaran ulang (re-login)</t>
  </si>
  <si>
    <t>Hendra + Priya</t>
  </si>
  <si>
    <t>Single-sheet (billtri)</t>
  </si>
  <si>
    <t>S08/S23</t>
  </si>
  <si>
    <t>Variasi Periode (billtri) / Pertanyaan Bilingual (billtri)</t>
  </si>
  <si>
    <t>Inti/Tepi</t>
  </si>
  <si>
    <t>S13 JSON ambigu – dipetakan ke dua GT</t>
  </si>
  <si>
    <t>Two-sheet (billper + billdu)</t>
  </si>
  <si>
    <t>Tidak terdeteksi otomatis – ditemukan manual (ID 90006, 240007)</t>
  </si>
  <si>
    <t>Three-sheet (Ringkasan Saya)</t>
  </si>
  <si>
    <t>Out-of-scope</t>
  </si>
  <si>
    <t>Volume besar (lunas + belum lunas)</t>
  </si>
  <si>
    <t>Rapid-fire</t>
  </si>
  <si>
    <t>Tidak terdeteksi otomatis – ditemukan manual (ID 210003–210005)</t>
  </si>
  <si>
    <t>Multi-turn (pronoun)</t>
  </si>
  <si>
    <t>Bilingual</t>
  </si>
  <si>
    <t>Sapaan (Greeting)</t>
  </si>
  <si>
    <t>Multi-SND</t>
  </si>
  <si>
    <t>Akses lintas-sales (IBAC)</t>
  </si>
  <si>
    <t>Tidak terdeteksi otomatis – ditemukan manual (ID 240010,240011,270001,270002)</t>
  </si>
  <si>
    <t>SND tidak terdaftar</t>
  </si>
  <si>
    <t>Query atribut spesifik (PIC)</t>
  </si>
  <si>
    <t>Tidak terdeteksi otomatis – ditemukan manual (ID 240008)</t>
  </si>
  <si>
    <t>DAFTAR 11 ENTRI COLD START (Excluded from Median Latency per BAB IV)</t>
  </si>
  <si>
    <t>Latency (ms)</t>
  </si>
  <si>
    <t>Pola Cold Start</t>
  </si>
  <si>
    <t>Skenario GT</t>
  </si>
  <si>
    <t>conv-60002</t>
  </si>
  <si>
    <t>Priya (940102)</t>
  </si>
  <si>
    <t>First query sesi pertama Priya</t>
  </si>
  <si>
    <t>S05 (profil tambahan)</t>
  </si>
  <si>
    <t>Warm entry S05: conv-240001 (671 ms) dipakai sebagai canonical</t>
  </si>
  <si>
    <t>Jeda idle setelah beberapa query</t>
  </si>
  <si>
    <t>S10 (profil tambahan)</t>
  </si>
  <si>
    <t>Satu-satunya entri S10 Priya; tetap dipakai dengan flag COLD START</t>
  </si>
  <si>
    <t>conv-90010</t>
  </si>
  <si>
    <t>Lanjutan sesi idle</t>
  </si>
  <si>
    <t>Eksplorasi (bukan skenario formal)</t>
  </si>
  <si>
    <t>Fase pengembangan multi-SND sebelum handler final; tidak dimasukkan ke baris skenario</t>
  </si>
  <si>
    <t>conv-90011</t>
  </si>
  <si>
    <t>Jeda idle (tertinggi di log)</t>
  </si>
  <si>
    <t>Fase pengembangan multi-SND; max latency keseluruhan sesi</t>
  </si>
  <si>
    <t>First query sesi 120 Priya</t>
  </si>
  <si>
    <t>S15 (profil tambahan)</t>
  </si>
  <si>
    <t>Satu-satunya entri S15 Priya; tetap dipakai dengan flag COLD START</t>
  </si>
  <si>
    <t>conv-120003</t>
  </si>
  <si>
    <t>Jeda idle dalam sesi 120</t>
  </si>
  <si>
    <t>S11 (profil resmi)</t>
  </si>
  <si>
    <t>Warm entry S11 Priya: conv-90007 (1.137 ms) dipakai sebagai canonical</t>
  </si>
  <si>
    <t>conv-120011</t>
  </si>
  <si>
    <t>Name search exploratory PT Jaya Tama (percobaan ke-3); tidak dimasukkan ke baris skenario</t>
  </si>
  <si>
    <t>Hendra (MB10207)</t>
  </si>
  <si>
    <t>First query sesi pertama Hendra</t>
  </si>
  <si>
    <t>S05/S12 (profil tambahan/resmi)</t>
  </si>
  <si>
    <t>Warm entry S12: conv-180011 (401 ms) dipakai sebagai canonical</t>
  </si>
  <si>
    <t>First query sesi 180 Hendra</t>
  </si>
  <si>
    <t>S06 (profil resmi)</t>
  </si>
  <si>
    <t>Opsi A: tetap dipakai dengan flag COLD START (satu-satunya entri S06 Hendra dengan query persis Lampiran)</t>
  </si>
  <si>
    <t>conv-210014</t>
  </si>
  <si>
    <t>Jeda panjang dalam sesi 210</t>
  </si>
  <si>
    <t>S12 (profil resmi)</t>
  </si>
  <si>
    <t>conv-270001</t>
  </si>
  <si>
    <t>First query sesi 270 Hendra</t>
  </si>
  <si>
    <t>S04 IBAC (profil resmi)</t>
  </si>
  <si>
    <t>Warm entry S04: conv-270002 (593 ms) dipakai sebagai canonical</t>
  </si>
  <si>
    <t>Target T3 DSR ≥ 85% → ✓ LULUS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</si>
</sst>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Rp&quot;#,##0"/>
  </numFmts>
  <fonts count="21" x14ac:knownFonts="1">
    <font>
      <sz val="11"/>
      <color theme="1"/>
      <name val="Calibri"/>
      <family val="2"/>
      <charset val="1"/>
    </font>
    <font>
      <b/>
      <sz val="9"/>
      <color rgb="FFFFFFFF"/>
      <name val="Arial"/>
      <charset val="1"/>
    </font>
    <font>
      <sz val="9"/>
      <color rgb="FF000000"/>
      <name val="Arial"/>
      <charset val="1"/>
    </font>
    <font>
      <b/>
      <sz val="12"/>
      <color rgb="FFFFFFFF"/>
      <name val="Arial"/>
      <charset val="1"/>
    </font>
    <font>
      <b/>
      <sz val="13"/>
      <color rgb="FFFFFFFF"/>
      <name val="Times New Roman"/>
      <family val="1"/>
    </font>
    <font>
      <sz val="11"/>
      <color theme="1"/>
      <name val="Times New Roman"/>
      <family val="1"/>
    </font>
    <font>
      <i/>
      <sz val="9"/>
      <color rgb="FF333333"/>
      <name val="Times New Roman"/>
      <family val="1"/>
    </font>
    <font>
      <b/>
      <sz val="9"/>
      <color rgb="FF000000"/>
      <name val="Times New Roman"/>
      <family val="1"/>
    </font>
    <font>
      <sz val="9"/>
      <color rgb="FF000000"/>
      <name val="Times New Roman"/>
      <family val="1"/>
    </font>
    <font>
      <b/>
      <sz val="9"/>
      <name val="Times New Roman"/>
      <family val="1"/>
    </font>
    <font>
      <sz val="9"/>
      <name val="Times New Roman"/>
      <family val="1"/>
    </font>
    <font>
      <b/>
      <sz val="10"/>
      <color rgb="FFFFFFFF"/>
      <name val="Times New Roman"/>
      <family val="1"/>
    </font>
    <font>
      <sz val="10"/>
      <color theme="1"/>
      <name val="Times New Roman"/>
      <family val="1"/>
    </font>
    <font>
      <b/>
      <sz val="12"/>
      <color rgb="FFFFFFFF"/>
      <name val="Times New Roman"/>
      <family val="1"/>
    </font>
    <font>
      <i/>
      <sz val="9"/>
      <color rgb="FF555555"/>
      <name val="Times New Roman"/>
      <family val="1"/>
    </font>
    <font>
      <sz val="10"/>
      <color rgb="FF000000"/>
      <name val="Times New Roman"/>
      <family val="1"/>
    </font>
    <font>
      <b/>
      <sz val="10"/>
      <color rgb="FF000000"/>
      <name val="Times New Roman"/>
      <family val="1"/>
    </font>
    <font>
      <b/>
      <sz val="14"/>
      <color rgb="FFFFFFFF"/>
      <name val="Times New Roman"/>
      <family val="1"/>
    </font>
    <font>
      <b/>
      <sz val="11"/>
      <color rgb="FFFFFFFF"/>
      <name val="Times New Roman"/>
      <family val="1"/>
    </font>
    <font>
      <sz val="10"/>
      <color theme="1"/>
      <name val="Calibri"/>
      <family val="2"/>
      <charset val="1"/>
    </font>
    <font>
      <sz val="12"/>
      <color theme="1"/>
      <name val="Calibri"/>
      <family val="2"/>
      <charset val="1"/>
    </font>
  </fonts>
  <fills count="24">
    <fill>
      <patternFill patternType="none"/>
    </fill>
    <fill>
      <patternFill patternType="gray125"/>
    </fill>
    <fill>
      <patternFill patternType="solid">
        <fgColor rgb="FF1F3864"/>
        <bgColor rgb="FF333333"/>
      </patternFill>
    </fill>
    <fill>
      <patternFill patternType="solid">
        <fgColor rgb="FFEBF3FA"/>
        <bgColor rgb="FFE9F7EF"/>
      </patternFill>
    </fill>
    <fill>
      <patternFill patternType="solid">
        <fgColor rgb="FF2E75B6"/>
        <bgColor rgb="FF0066CC"/>
      </patternFill>
    </fill>
    <fill>
      <patternFill patternType="solid">
        <fgColor rgb="FFF2F8FF"/>
        <bgColor rgb="FFEBF3FA"/>
      </patternFill>
    </fill>
    <fill>
      <patternFill patternType="solid">
        <fgColor rgb="FFC6EFCE"/>
        <bgColor rgb="FFE9F7EF"/>
      </patternFill>
    </fill>
    <fill>
      <patternFill patternType="solid">
        <fgColor rgb="FFFFFFF0"/>
        <bgColor rgb="FFFFFFFF"/>
      </patternFill>
    </fill>
    <fill>
      <patternFill patternType="solid">
        <fgColor rgb="FFFFE0CC"/>
        <bgColor rgb="FFFFF3E0"/>
      </patternFill>
    </fill>
    <fill>
      <patternFill patternType="solid">
        <fgColor rgb="FFFFEB9C"/>
        <bgColor rgb="FFFFE0CC"/>
      </patternFill>
    </fill>
    <fill>
      <patternFill patternType="solid">
        <fgColor rgb="FF1A6B3C"/>
        <bgColor rgb="FF276749"/>
      </patternFill>
    </fill>
    <fill>
      <patternFill patternType="solid">
        <fgColor rgb="FF276749"/>
        <bgColor rgb="FF1A6B3C"/>
      </patternFill>
    </fill>
    <fill>
      <patternFill patternType="solid">
        <fgColor rgb="FFFFFFFF"/>
        <bgColor rgb="FFFFFFF0"/>
      </patternFill>
    </fill>
    <fill>
      <patternFill patternType="solid">
        <fgColor rgb="FFE9F7EF"/>
        <bgColor rgb="FFEBF3FA"/>
      </patternFill>
    </fill>
    <fill>
      <patternFill patternType="solid">
        <fgColor rgb="FF5B9BD5"/>
        <bgColor rgb="FF969696"/>
      </patternFill>
    </fill>
    <fill>
      <patternFill patternType="solid">
        <fgColor rgb="FF1F7A4D"/>
        <bgColor rgb="FF1A6B3C"/>
      </patternFill>
    </fill>
    <fill>
      <patternFill patternType="solid">
        <fgColor rgb="FFC55A11"/>
        <bgColor rgb="FFE07B39"/>
      </patternFill>
    </fill>
    <fill>
      <patternFill patternType="solid">
        <fgColor rgb="FFE07B39"/>
        <bgColor rgb="FFC55A11"/>
      </patternFill>
    </fill>
    <fill>
      <patternFill patternType="solid">
        <fgColor rgb="FF7030A0"/>
        <bgColor rgb="FF993366"/>
      </patternFill>
    </fill>
    <fill>
      <patternFill patternType="solid">
        <fgColor rgb="FF9B59B6"/>
        <bgColor rgb="FF993366"/>
      </patternFill>
    </fill>
    <fill>
      <patternFill patternType="solid">
        <fgColor rgb="FF7B3F00"/>
        <bgColor rgb="FF993366"/>
      </patternFill>
    </fill>
    <fill>
      <patternFill patternType="solid">
        <fgColor rgb="FFFFF3E0"/>
        <bgColor rgb="FFFFF5EE"/>
      </patternFill>
    </fill>
    <fill>
      <patternFill patternType="solid">
        <fgColor rgb="FFFFF9E6"/>
        <bgColor rgb="FFFFF5EE"/>
      </patternFill>
    </fill>
    <fill>
      <patternFill patternType="solid">
        <fgColor rgb="FFFFF5EE"/>
        <bgColor rgb="FFFFF9E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79">
    <xf numFmtId="0" fontId="0" fillId="0" borderId="0" xfId="0"/>
    <xf numFmtId="0" fontId="0" fillId="0" borderId="0" xfId="0" applyAlignment="1"/>
    <xf numFmtId="0" fontId="1" fillId="11" borderId="1"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0" fillId="0" borderId="0" xfId="0" applyBorder="1" applyAlignment="1"/>
    <xf numFmtId="0" fontId="3" fillId="10" borderId="2" xfId="0" applyFont="1" applyFill="1" applyBorder="1" applyAlignment="1">
      <alignment horizontal="center" vertical="center" wrapText="1"/>
    </xf>
    <xf numFmtId="0" fontId="1" fillId="4" borderId="3" xfId="0" applyFont="1" applyFill="1" applyBorder="1" applyAlignment="1">
      <alignment horizontal="left" vertical="center" wrapText="1"/>
    </xf>
    <xf numFmtId="0" fontId="1" fillId="14" borderId="2" xfId="0" applyFont="1" applyFill="1" applyBorder="1" applyAlignment="1">
      <alignment horizontal="left" vertical="center" wrapText="1"/>
    </xf>
    <xf numFmtId="0" fontId="2" fillId="12" borderId="1" xfId="0" applyNumberFormat="1" applyFont="1" applyFill="1" applyBorder="1" applyAlignment="1">
      <alignment horizontal="center" vertical="center" wrapText="1"/>
    </xf>
    <xf numFmtId="0" fontId="2" fillId="13" borderId="1" xfId="0" applyNumberFormat="1" applyFont="1" applyFill="1" applyBorder="1" applyAlignment="1">
      <alignment horizontal="center" vertical="center" wrapText="1"/>
    </xf>
    <xf numFmtId="0" fontId="1" fillId="11" borderId="1" xfId="0" applyFont="1" applyFill="1" applyBorder="1" applyAlignment="1">
      <alignment vertical="center" wrapText="1"/>
    </xf>
    <xf numFmtId="0" fontId="2" fillId="12" borderId="1" xfId="0" applyFont="1" applyFill="1" applyBorder="1" applyAlignment="1">
      <alignment vertical="center" wrapText="1"/>
    </xf>
    <xf numFmtId="0" fontId="2" fillId="13" borderId="1" xfId="0" applyFont="1" applyFill="1" applyBorder="1" applyAlignment="1">
      <alignment vertical="center" wrapText="1"/>
    </xf>
    <xf numFmtId="0" fontId="1" fillId="17" borderId="2" xfId="0" applyFont="1" applyFill="1" applyBorder="1" applyAlignment="1">
      <alignment horizontal="left" vertical="center"/>
    </xf>
    <xf numFmtId="0" fontId="1" fillId="18" borderId="2" xfId="0" applyFont="1" applyFill="1" applyBorder="1" applyAlignment="1">
      <alignment horizontal="left" vertical="center"/>
    </xf>
    <xf numFmtId="0" fontId="1" fillId="16" borderId="2" xfId="0" applyFont="1" applyFill="1" applyBorder="1" applyAlignment="1">
      <alignment horizontal="left" vertical="center"/>
    </xf>
    <xf numFmtId="0" fontId="1" fillId="15" borderId="2" xfId="0" applyFont="1" applyFill="1" applyBorder="1" applyAlignment="1">
      <alignment horizontal="left" vertical="center"/>
    </xf>
    <xf numFmtId="0" fontId="1" fillId="19" borderId="2" xfId="0" applyFont="1" applyFill="1" applyBorder="1" applyAlignment="1">
      <alignment horizontal="left" vertical="center" wrapText="1"/>
    </xf>
    <xf numFmtId="0" fontId="1" fillId="18" borderId="2" xfId="0" applyFont="1" applyFill="1" applyBorder="1" applyAlignment="1">
      <alignment horizontal="left" vertical="center" wrapText="1"/>
    </xf>
    <xf numFmtId="0" fontId="1" fillId="17" borderId="2" xfId="0" applyFont="1" applyFill="1" applyBorder="1" applyAlignment="1">
      <alignment horizontal="left" vertical="center" wrapText="1"/>
    </xf>
    <xf numFmtId="0" fontId="1" fillId="16" borderId="2" xfId="0" applyFont="1" applyFill="1" applyBorder="1" applyAlignment="1">
      <alignment horizontal="left" vertical="center" wrapText="1"/>
    </xf>
    <xf numFmtId="0" fontId="1" fillId="15" borderId="2" xfId="0" applyFont="1" applyFill="1" applyBorder="1" applyAlignment="1">
      <alignment horizontal="left" vertical="center" wrapText="1"/>
    </xf>
    <xf numFmtId="167" fontId="2" fillId="12" borderId="1" xfId="0" applyNumberFormat="1" applyFont="1" applyFill="1" applyBorder="1" applyAlignment="1">
      <alignment horizontal="center" vertical="center" wrapText="1"/>
    </xf>
    <xf numFmtId="167" fontId="2" fillId="13" borderId="1" xfId="0" applyNumberFormat="1" applyFont="1" applyFill="1" applyBorder="1" applyAlignment="1">
      <alignment horizontal="center" vertical="center" wrapText="1"/>
    </xf>
    <xf numFmtId="167" fontId="1" fillId="11" borderId="1" xfId="0" applyNumberFormat="1" applyFont="1" applyFill="1" applyBorder="1" applyAlignment="1">
      <alignment horizontal="center" vertical="center" wrapText="1"/>
    </xf>
    <xf numFmtId="167" fontId="0" fillId="0" borderId="0" xfId="0" applyNumberFormat="1" applyAlignment="1"/>
    <xf numFmtId="0" fontId="4" fillId="2" borderId="0" xfId="0" applyFont="1" applyFill="1" applyBorder="1" applyAlignment="1">
      <alignment horizontal="center" vertical="center" wrapText="1"/>
    </xf>
    <xf numFmtId="0" fontId="5" fillId="0" borderId="0" xfId="0" applyFont="1"/>
    <xf numFmtId="0" fontId="6" fillId="3" borderId="0" xfId="0" applyFont="1" applyFill="1" applyBorder="1" applyAlignment="1">
      <alignment horizontal="center" vertical="center"/>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right" vertical="center"/>
    </xf>
    <xf numFmtId="0" fontId="9"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8" fillId="7" borderId="1" xfId="0" applyFont="1" applyFill="1" applyBorder="1" applyAlignment="1">
      <alignment horizontal="right" vertical="center"/>
    </xf>
    <xf numFmtId="0" fontId="8" fillId="5" borderId="1" xfId="0" applyNumberFormat="1" applyFont="1" applyFill="1" applyBorder="1" applyAlignment="1">
      <alignment horizontal="center" vertical="center" wrapText="1"/>
    </xf>
    <xf numFmtId="0" fontId="8" fillId="8" borderId="1" xfId="0" applyFont="1" applyFill="1" applyBorder="1" applyAlignment="1">
      <alignment horizontal="left" vertical="center" wrapText="1"/>
    </xf>
    <xf numFmtId="0" fontId="8" fillId="7"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9" borderId="1" xfId="0" applyFont="1" applyFill="1" applyBorder="1" applyAlignment="1">
      <alignment horizontal="center" vertical="center"/>
    </xf>
    <xf numFmtId="0" fontId="5" fillId="0" borderId="0" xfId="0" applyFont="1" applyAlignment="1"/>
    <xf numFmtId="0" fontId="5" fillId="0" borderId="0" xfId="0" applyFont="1" applyAlignment="1">
      <alignment horizontal="center"/>
    </xf>
    <xf numFmtId="0" fontId="11" fillId="4" borderId="1" xfId="0" applyFont="1" applyFill="1" applyBorder="1" applyAlignment="1">
      <alignment horizontal="center" vertical="center" wrapText="1"/>
    </xf>
    <xf numFmtId="0" fontId="12" fillId="0" borderId="0" xfId="0" applyFont="1"/>
    <xf numFmtId="0" fontId="8" fillId="12"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0" fontId="8" fillId="22" borderId="1" xfId="0" applyFont="1" applyFill="1" applyBorder="1" applyAlignment="1">
      <alignment horizontal="center" vertical="center" wrapText="1"/>
    </xf>
    <xf numFmtId="0" fontId="8" fillId="22" borderId="1" xfId="0" applyFont="1" applyFill="1" applyBorder="1" applyAlignment="1">
      <alignment horizontal="left" vertical="center" wrapText="1"/>
    </xf>
    <xf numFmtId="0" fontId="14" fillId="21" borderId="0" xfId="0" applyFont="1" applyFill="1" applyBorder="1" applyAlignment="1">
      <alignment horizontal="center" vertical="center"/>
    </xf>
    <xf numFmtId="0" fontId="15" fillId="12" borderId="1" xfId="0" applyFont="1" applyFill="1" applyBorder="1" applyAlignment="1">
      <alignment horizontal="left" vertical="center" wrapText="1"/>
    </xf>
    <xf numFmtId="0" fontId="15" fillId="12" borderId="1" xfId="0" applyFont="1" applyFill="1" applyBorder="1" applyAlignment="1">
      <alignment horizontal="center" vertical="center" wrapText="1"/>
    </xf>
    <xf numFmtId="9" fontId="15" fillId="12" borderId="1" xfId="0" applyNumberFormat="1" applyFont="1" applyFill="1" applyBorder="1" applyAlignment="1">
      <alignment horizontal="center" vertical="center" wrapText="1"/>
    </xf>
    <xf numFmtId="0" fontId="15"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9" fontId="15" fillId="5" borderId="1" xfId="0" applyNumberFormat="1" applyFont="1" applyFill="1" applyBorder="1" applyAlignment="1">
      <alignment horizontal="center"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center" vertical="center" wrapText="1"/>
    </xf>
    <xf numFmtId="9" fontId="16" fillId="9" borderId="1" xfId="0" applyNumberFormat="1" applyFont="1" applyFill="1" applyBorder="1" applyAlignment="1">
      <alignment horizontal="center" vertical="center" wrapText="1"/>
    </xf>
    <xf numFmtId="0" fontId="17" fillId="20" borderId="0" xfId="0" applyFont="1" applyFill="1" applyBorder="1" applyAlignment="1">
      <alignment horizontal="center" vertical="center" wrapText="1"/>
    </xf>
    <xf numFmtId="0" fontId="18" fillId="20" borderId="1" xfId="0" applyFont="1" applyFill="1" applyBorder="1" applyAlignment="1">
      <alignment horizontal="center" vertical="center" wrapText="1"/>
    </xf>
    <xf numFmtId="0" fontId="0" fillId="0" borderId="0" xfId="0" applyFont="1"/>
    <xf numFmtId="0" fontId="13" fillId="2" borderId="0" xfId="0" applyFont="1" applyFill="1" applyBorder="1" applyAlignment="1">
      <alignment horizontal="center" vertical="center" wrapText="1"/>
    </xf>
    <xf numFmtId="0" fontId="19" fillId="0" borderId="0" xfId="0" applyFont="1"/>
    <xf numFmtId="0" fontId="18" fillId="4"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23" borderId="1" xfId="0" applyFont="1" applyFill="1" applyBorder="1" applyAlignment="1">
      <alignment horizontal="center" vertical="center" wrapText="1"/>
    </xf>
    <xf numFmtId="0" fontId="8" fillId="23" borderId="1" xfId="0" applyFont="1" applyFill="1" applyBorder="1" applyAlignment="1">
      <alignment horizontal="left" vertical="center" wrapText="1"/>
    </xf>
    <xf numFmtId="0" fontId="11" fillId="17" borderId="1" xfId="0" applyFont="1" applyFill="1" applyBorder="1" applyAlignment="1">
      <alignment horizontal="center" vertical="center" wrapText="1"/>
    </xf>
    <xf numFmtId="0" fontId="13" fillId="16" borderId="0" xfId="0" applyFont="1" applyFill="1" applyBorder="1" applyAlignment="1">
      <alignment horizontal="center" vertical="center" wrapText="1"/>
    </xf>
    <xf numFmtId="0" fontId="2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F0"/>
      <rgbColor rgb="FFFF00FF"/>
      <rgbColor rgb="FF00FFFF"/>
      <rgbColor rgb="FF800000"/>
      <rgbColor rgb="FF1A6B3C"/>
      <rgbColor rgb="FF000080"/>
      <rgbColor rgb="FF808000"/>
      <rgbColor rgb="FF800080"/>
      <rgbColor rgb="FF1F7A4D"/>
      <rgbColor rgb="FFBFBFBF"/>
      <rgbColor rgb="FF9B59B6"/>
      <rgbColor rgb="FF5B9BD5"/>
      <rgbColor rgb="FF7030A0"/>
      <rgbColor rgb="FFFFF9E6"/>
      <rgbColor rgb="FFE9F7EF"/>
      <rgbColor rgb="FF660066"/>
      <rgbColor rgb="FFE07B39"/>
      <rgbColor rgb="FF0066CC"/>
      <rgbColor rgb="FFF2F8FF"/>
      <rgbColor rgb="FF000080"/>
      <rgbColor rgb="FFFF00FF"/>
      <rgbColor rgb="FFFFFF00"/>
      <rgbColor rgb="FF00FFFF"/>
      <rgbColor rgb="FF800080"/>
      <rgbColor rgb="FF800000"/>
      <rgbColor rgb="FF276749"/>
      <rgbColor rgb="FF0000FF"/>
      <rgbColor rgb="FF00CCFF"/>
      <rgbColor rgb="FFEBF3FA"/>
      <rgbColor rgb="FFC6EFCE"/>
      <rgbColor rgb="FFFFEB9C"/>
      <rgbColor rgb="FFFFF3E0"/>
      <rgbColor rgb="FFFFF5EE"/>
      <rgbColor rgb="FFCC99FF"/>
      <rgbColor rgb="FFFFE0CC"/>
      <rgbColor rgb="FF2E75B6"/>
      <rgbColor rgb="FF33CCCC"/>
      <rgbColor rgb="FF99CC00"/>
      <rgbColor rgb="FFFFCC00"/>
      <rgbColor rgb="FFFF9900"/>
      <rgbColor rgb="FFC55A11"/>
      <rgbColor rgb="FF555555"/>
      <rgbColor rgb="FF969696"/>
      <rgbColor rgb="FF1F3864"/>
      <rgbColor rgb="FF339966"/>
      <rgbColor rgb="FF003300"/>
      <rgbColor rgb="FF333300"/>
      <rgbColor rgb="FF7B3F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3"/>
  <sheetViews>
    <sheetView zoomScaleNormal="100" workbookViewId="0">
      <pane xSplit="3" ySplit="3" topLeftCell="S46" activePane="bottomRight" state="frozen"/>
      <selection pane="topRight" activeCell="D1" sqref="D1"/>
      <selection pane="bottomLeft" activeCell="A4" sqref="A4"/>
      <selection pane="bottomRight" activeCell="M6" sqref="M6"/>
    </sheetView>
  </sheetViews>
  <sheetFormatPr defaultColWidth="8.6328125" defaultRowHeight="14" x14ac:dyDescent="0.3"/>
  <cols>
    <col min="1" max="1" width="5" style="49" customWidth="1"/>
    <col min="2" max="2" width="8" style="49" customWidth="1"/>
    <col min="3" max="3" width="32" style="49" customWidth="1"/>
    <col min="4" max="4" width="8" style="49" customWidth="1"/>
    <col min="5" max="5" width="18" style="49" customWidth="1"/>
    <col min="6" max="6" width="12" style="49" customWidth="1"/>
    <col min="7" max="7" width="7" style="49" customWidth="1"/>
    <col min="8" max="8" width="18" style="50" customWidth="1"/>
    <col min="9" max="9" width="12" style="49" customWidth="1"/>
    <col min="10" max="10" width="40" style="49" customWidth="1"/>
    <col min="11" max="11" width="20" style="49" customWidth="1"/>
    <col min="12" max="12" width="12" style="49" customWidth="1"/>
    <col min="13" max="13" width="10" style="49" customWidth="1"/>
    <col min="14" max="14" width="22" style="49" customWidth="1"/>
    <col min="15" max="15" width="7" style="49" customWidth="1"/>
    <col min="16" max="17" width="42" style="49" customWidth="1"/>
    <col min="18" max="18" width="10" style="49" customWidth="1"/>
    <col min="19" max="19" width="32" style="49" customWidth="1"/>
    <col min="20" max="20" width="10" style="49" customWidth="1"/>
    <col min="21" max="21" width="12" style="49" customWidth="1"/>
    <col min="22" max="22" width="10" style="49" customWidth="1"/>
    <col min="23" max="23" width="41.7265625" style="49" customWidth="1"/>
    <col min="24" max="16384" width="8.6328125" style="30"/>
  </cols>
  <sheetData>
    <row r="1" spans="1:23" ht="16.5" customHeight="1" x14ac:dyDescent="0.3">
      <c r="A1" s="29" t="s">
        <v>0</v>
      </c>
      <c r="B1" s="29"/>
      <c r="C1" s="29"/>
      <c r="D1" s="29"/>
      <c r="E1" s="29"/>
      <c r="F1" s="29"/>
      <c r="G1" s="29"/>
      <c r="H1" s="29"/>
      <c r="I1" s="29"/>
      <c r="J1" s="29"/>
      <c r="K1" s="29"/>
      <c r="L1" s="29"/>
      <c r="M1" s="29"/>
      <c r="N1" s="29"/>
      <c r="O1" s="29"/>
      <c r="P1" s="29"/>
      <c r="Q1" s="29"/>
      <c r="R1" s="29"/>
      <c r="S1" s="29"/>
      <c r="T1" s="29"/>
      <c r="U1" s="29"/>
      <c r="V1" s="29"/>
      <c r="W1" s="29"/>
    </row>
    <row r="2" spans="1:23" x14ac:dyDescent="0.3">
      <c r="A2" s="31" t="s">
        <v>1</v>
      </c>
      <c r="B2" s="31"/>
      <c r="C2" s="31"/>
      <c r="D2" s="31"/>
      <c r="E2" s="31"/>
      <c r="F2" s="31"/>
      <c r="G2" s="31"/>
      <c r="H2" s="31"/>
      <c r="I2" s="31"/>
      <c r="J2" s="31"/>
      <c r="K2" s="31"/>
      <c r="L2" s="31"/>
      <c r="M2" s="31"/>
      <c r="N2" s="31"/>
      <c r="O2" s="31"/>
      <c r="P2" s="31"/>
      <c r="Q2" s="31"/>
      <c r="R2" s="31"/>
      <c r="S2" s="31"/>
      <c r="T2" s="31"/>
      <c r="U2" s="31"/>
      <c r="V2" s="31"/>
      <c r="W2" s="31"/>
    </row>
    <row r="3" spans="1:23" s="52" customFormat="1" ht="26" x14ac:dyDescent="0.3">
      <c r="A3" s="51" t="s">
        <v>2</v>
      </c>
      <c r="B3" s="51" t="s">
        <v>3</v>
      </c>
      <c r="C3" s="51" t="s">
        <v>4</v>
      </c>
      <c r="D3" s="51" t="s">
        <v>5</v>
      </c>
      <c r="E3" s="51" t="s">
        <v>6</v>
      </c>
      <c r="F3" s="51" t="s">
        <v>7</v>
      </c>
      <c r="G3" s="51" t="s">
        <v>8</v>
      </c>
      <c r="H3" s="51" t="s">
        <v>9</v>
      </c>
      <c r="I3" s="51" t="s">
        <v>10</v>
      </c>
      <c r="J3" s="51" t="s">
        <v>11</v>
      </c>
      <c r="K3" s="51" t="s">
        <v>12</v>
      </c>
      <c r="L3" s="51" t="s">
        <v>13</v>
      </c>
      <c r="M3" s="51" t="s">
        <v>14</v>
      </c>
      <c r="N3" s="51" t="s">
        <v>15</v>
      </c>
      <c r="O3" s="51" t="s">
        <v>16</v>
      </c>
      <c r="P3" s="51" t="s">
        <v>17</v>
      </c>
      <c r="Q3" s="51" t="s">
        <v>18</v>
      </c>
      <c r="R3" s="51" t="s">
        <v>19</v>
      </c>
      <c r="S3" s="51" t="s">
        <v>20</v>
      </c>
      <c r="T3" s="51" t="s">
        <v>21</v>
      </c>
      <c r="U3" s="51" t="s">
        <v>22</v>
      </c>
      <c r="V3" s="51" t="s">
        <v>23</v>
      </c>
      <c r="W3" s="51" t="s">
        <v>24</v>
      </c>
    </row>
    <row r="4" spans="1:23" ht="23" x14ac:dyDescent="0.3">
      <c r="A4" s="32">
        <v>1</v>
      </c>
      <c r="B4" s="33" t="s">
        <v>25</v>
      </c>
      <c r="C4" s="34" t="s">
        <v>26</v>
      </c>
      <c r="D4" s="33" t="s">
        <v>27</v>
      </c>
      <c r="E4" s="34" t="s">
        <v>28</v>
      </c>
      <c r="F4" s="33" t="s">
        <v>29</v>
      </c>
      <c r="G4" s="33" t="s">
        <v>29</v>
      </c>
      <c r="H4" s="33" t="s">
        <v>29</v>
      </c>
      <c r="I4" s="34" t="s">
        <v>30</v>
      </c>
      <c r="J4" s="34" t="s">
        <v>31</v>
      </c>
      <c r="K4" s="34" t="s">
        <v>32</v>
      </c>
      <c r="L4" s="33" t="s">
        <v>33</v>
      </c>
      <c r="M4" s="33" t="s">
        <v>34</v>
      </c>
      <c r="N4" s="34" t="s">
        <v>35</v>
      </c>
      <c r="O4" s="33">
        <v>0</v>
      </c>
      <c r="P4" s="34" t="s">
        <v>36</v>
      </c>
      <c r="Q4" s="34" t="s">
        <v>37</v>
      </c>
      <c r="R4" s="35" t="s">
        <v>38</v>
      </c>
      <c r="S4" s="34" t="s">
        <v>39</v>
      </c>
      <c r="T4" s="36" t="s">
        <v>40</v>
      </c>
      <c r="U4" s="36" t="s">
        <v>40</v>
      </c>
      <c r="V4" s="36" t="s">
        <v>40</v>
      </c>
      <c r="W4" s="34"/>
    </row>
    <row r="5" spans="1:23" ht="23" x14ac:dyDescent="0.3">
      <c r="A5" s="37">
        <v>2</v>
      </c>
      <c r="B5" s="38" t="s">
        <v>25</v>
      </c>
      <c r="C5" s="39" t="s">
        <v>26</v>
      </c>
      <c r="D5" s="38" t="s">
        <v>27</v>
      </c>
      <c r="E5" s="39" t="s">
        <v>41</v>
      </c>
      <c r="F5" s="38" t="s">
        <v>29</v>
      </c>
      <c r="G5" s="38" t="s">
        <v>29</v>
      </c>
      <c r="H5" s="38" t="s">
        <v>29</v>
      </c>
      <c r="I5" s="39" t="s">
        <v>42</v>
      </c>
      <c r="J5" s="39" t="s">
        <v>43</v>
      </c>
      <c r="K5" s="39" t="s">
        <v>44</v>
      </c>
      <c r="L5" s="38" t="s">
        <v>33</v>
      </c>
      <c r="M5" s="38" t="s">
        <v>45</v>
      </c>
      <c r="N5" s="39" t="s">
        <v>35</v>
      </c>
      <c r="O5" s="38">
        <v>0</v>
      </c>
      <c r="P5" s="39" t="s">
        <v>36</v>
      </c>
      <c r="Q5" s="39" t="s">
        <v>37</v>
      </c>
      <c r="R5" s="40" t="s">
        <v>38</v>
      </c>
      <c r="S5" s="39" t="s">
        <v>39</v>
      </c>
      <c r="T5" s="36" t="s">
        <v>40</v>
      </c>
      <c r="U5" s="36" t="s">
        <v>40</v>
      </c>
      <c r="V5" s="36" t="s">
        <v>40</v>
      </c>
      <c r="W5" s="39"/>
    </row>
    <row r="6" spans="1:23" ht="23" x14ac:dyDescent="0.3">
      <c r="A6" s="32">
        <v>3</v>
      </c>
      <c r="B6" s="33" t="s">
        <v>46</v>
      </c>
      <c r="C6" s="34" t="s">
        <v>47</v>
      </c>
      <c r="D6" s="33" t="s">
        <v>27</v>
      </c>
      <c r="E6" s="34" t="s">
        <v>28</v>
      </c>
      <c r="F6" s="33" t="s">
        <v>48</v>
      </c>
      <c r="G6" s="33" t="s">
        <v>29</v>
      </c>
      <c r="H6" s="33" t="s">
        <v>29</v>
      </c>
      <c r="I6" s="34" t="s">
        <v>30</v>
      </c>
      <c r="J6" s="34" t="s">
        <v>49</v>
      </c>
      <c r="K6" s="34" t="s">
        <v>50</v>
      </c>
      <c r="L6" s="33" t="s">
        <v>33</v>
      </c>
      <c r="M6" s="33" t="s">
        <v>51</v>
      </c>
      <c r="N6" s="34" t="s">
        <v>35</v>
      </c>
      <c r="O6" s="33">
        <v>0</v>
      </c>
      <c r="P6" s="34" t="s">
        <v>52</v>
      </c>
      <c r="Q6" s="34" t="s">
        <v>53</v>
      </c>
      <c r="R6" s="35" t="s">
        <v>38</v>
      </c>
      <c r="S6" s="34" t="s">
        <v>39</v>
      </c>
      <c r="T6" s="36" t="s">
        <v>40</v>
      </c>
      <c r="U6" s="36" t="s">
        <v>40</v>
      </c>
      <c r="V6" s="36" t="s">
        <v>40</v>
      </c>
      <c r="W6" s="34"/>
    </row>
    <row r="7" spans="1:23" ht="23" x14ac:dyDescent="0.3">
      <c r="A7" s="37">
        <v>4</v>
      </c>
      <c r="B7" s="38" t="s">
        <v>46</v>
      </c>
      <c r="C7" s="39" t="s">
        <v>47</v>
      </c>
      <c r="D7" s="38" t="s">
        <v>27</v>
      </c>
      <c r="E7" s="39" t="s">
        <v>41</v>
      </c>
      <c r="F7" s="38" t="s">
        <v>54</v>
      </c>
      <c r="G7" s="38" t="s">
        <v>29</v>
      </c>
      <c r="H7" s="38" t="s">
        <v>29</v>
      </c>
      <c r="I7" s="39" t="s">
        <v>42</v>
      </c>
      <c r="J7" s="39" t="s">
        <v>55</v>
      </c>
      <c r="K7" s="39" t="s">
        <v>56</v>
      </c>
      <c r="L7" s="38" t="s">
        <v>33</v>
      </c>
      <c r="M7" s="38" t="s">
        <v>57</v>
      </c>
      <c r="N7" s="39" t="s">
        <v>35</v>
      </c>
      <c r="O7" s="38">
        <v>0</v>
      </c>
      <c r="P7" s="39" t="s">
        <v>52</v>
      </c>
      <c r="Q7" s="39" t="s">
        <v>58</v>
      </c>
      <c r="R7" s="40" t="s">
        <v>38</v>
      </c>
      <c r="S7" s="39" t="s">
        <v>39</v>
      </c>
      <c r="T7" s="36" t="s">
        <v>40</v>
      </c>
      <c r="U7" s="36" t="s">
        <v>40</v>
      </c>
      <c r="V7" s="36" t="s">
        <v>40</v>
      </c>
      <c r="W7" s="39"/>
    </row>
    <row r="8" spans="1:23" ht="23" x14ac:dyDescent="0.3">
      <c r="A8" s="32">
        <v>5</v>
      </c>
      <c r="B8" s="33" t="s">
        <v>59</v>
      </c>
      <c r="C8" s="34" t="s">
        <v>60</v>
      </c>
      <c r="D8" s="33" t="s">
        <v>27</v>
      </c>
      <c r="E8" s="34" t="s">
        <v>28</v>
      </c>
      <c r="F8" s="41">
        <v>940102</v>
      </c>
      <c r="G8" s="33" t="s">
        <v>61</v>
      </c>
      <c r="H8" s="33" t="s">
        <v>29</v>
      </c>
      <c r="I8" s="34" t="s">
        <v>30</v>
      </c>
      <c r="J8" s="34" t="s">
        <v>62</v>
      </c>
      <c r="K8" s="34" t="s">
        <v>63</v>
      </c>
      <c r="L8" s="33" t="s">
        <v>33</v>
      </c>
      <c r="M8" s="33" t="s">
        <v>64</v>
      </c>
      <c r="N8" s="34" t="s">
        <v>35</v>
      </c>
      <c r="O8" s="33">
        <v>0</v>
      </c>
      <c r="P8" s="34" t="s">
        <v>65</v>
      </c>
      <c r="Q8" s="34" t="s">
        <v>66</v>
      </c>
      <c r="R8" s="35" t="s">
        <v>38</v>
      </c>
      <c r="S8" s="34" t="s">
        <v>39</v>
      </c>
      <c r="T8" s="36" t="s">
        <v>40</v>
      </c>
      <c r="U8" s="36" t="s">
        <v>40</v>
      </c>
      <c r="V8" s="36" t="s">
        <v>40</v>
      </c>
      <c r="W8" s="34"/>
    </row>
    <row r="9" spans="1:23" ht="34.5" x14ac:dyDescent="0.3">
      <c r="A9" s="37">
        <v>6</v>
      </c>
      <c r="B9" s="38" t="s">
        <v>59</v>
      </c>
      <c r="C9" s="39" t="s">
        <v>60</v>
      </c>
      <c r="D9" s="38" t="s">
        <v>27</v>
      </c>
      <c r="E9" s="39" t="s">
        <v>41</v>
      </c>
      <c r="F9" s="38" t="s">
        <v>67</v>
      </c>
      <c r="G9" s="38" t="s">
        <v>68</v>
      </c>
      <c r="H9" s="38" t="s">
        <v>29</v>
      </c>
      <c r="I9" s="39" t="s">
        <v>42</v>
      </c>
      <c r="J9" s="39" t="s">
        <v>69</v>
      </c>
      <c r="K9" s="39" t="s">
        <v>70</v>
      </c>
      <c r="L9" s="38" t="s">
        <v>33</v>
      </c>
      <c r="M9" s="38" t="s">
        <v>71</v>
      </c>
      <c r="N9" s="39" t="s">
        <v>35</v>
      </c>
      <c r="O9" s="38">
        <v>0</v>
      </c>
      <c r="P9" s="39" t="s">
        <v>72</v>
      </c>
      <c r="Q9" s="39" t="s">
        <v>73</v>
      </c>
      <c r="R9" s="40" t="s">
        <v>38</v>
      </c>
      <c r="S9" s="39" t="s">
        <v>39</v>
      </c>
      <c r="T9" s="36" t="s">
        <v>40</v>
      </c>
      <c r="U9" s="36" t="s">
        <v>40</v>
      </c>
      <c r="V9" s="36" t="s">
        <v>40</v>
      </c>
      <c r="W9" s="39"/>
    </row>
    <row r="10" spans="1:23" ht="23" x14ac:dyDescent="0.3">
      <c r="A10" s="32">
        <v>7</v>
      </c>
      <c r="B10" s="33" t="s">
        <v>74</v>
      </c>
      <c r="C10" s="34" t="s">
        <v>75</v>
      </c>
      <c r="D10" s="33" t="s">
        <v>27</v>
      </c>
      <c r="E10" s="34" t="s">
        <v>41</v>
      </c>
      <c r="F10" s="33" t="s">
        <v>67</v>
      </c>
      <c r="G10" s="33" t="s">
        <v>68</v>
      </c>
      <c r="H10" s="33" t="s">
        <v>76</v>
      </c>
      <c r="I10" s="34" t="s">
        <v>30</v>
      </c>
      <c r="J10" s="34" t="s">
        <v>77</v>
      </c>
      <c r="K10" s="34" t="s">
        <v>78</v>
      </c>
      <c r="L10" s="33" t="s">
        <v>33</v>
      </c>
      <c r="M10" s="33" t="s">
        <v>79</v>
      </c>
      <c r="N10" s="34" t="s">
        <v>80</v>
      </c>
      <c r="O10" s="33">
        <v>0</v>
      </c>
      <c r="P10" s="34" t="s">
        <v>81</v>
      </c>
      <c r="Q10" s="34" t="s">
        <v>82</v>
      </c>
      <c r="R10" s="35">
        <v>593</v>
      </c>
      <c r="S10" s="42" t="s">
        <v>83</v>
      </c>
      <c r="T10" s="36" t="s">
        <v>40</v>
      </c>
      <c r="U10" s="36" t="s">
        <v>40</v>
      </c>
      <c r="V10" s="36" t="s">
        <v>40</v>
      </c>
      <c r="W10" s="34" t="s">
        <v>84</v>
      </c>
    </row>
    <row r="11" spans="1:23" ht="23" x14ac:dyDescent="0.3">
      <c r="A11" s="37">
        <v>8</v>
      </c>
      <c r="B11" s="38" t="s">
        <v>74</v>
      </c>
      <c r="C11" s="39" t="s">
        <v>75</v>
      </c>
      <c r="D11" s="38" t="s">
        <v>27</v>
      </c>
      <c r="E11" s="39" t="s">
        <v>28</v>
      </c>
      <c r="F11" s="43">
        <v>940102</v>
      </c>
      <c r="G11" s="38" t="s">
        <v>61</v>
      </c>
      <c r="H11" s="38" t="s">
        <v>76</v>
      </c>
      <c r="I11" s="39" t="s">
        <v>42</v>
      </c>
      <c r="J11" s="39" t="s">
        <v>85</v>
      </c>
      <c r="K11" s="39" t="s">
        <v>86</v>
      </c>
      <c r="L11" s="38" t="s">
        <v>33</v>
      </c>
      <c r="M11" s="38" t="s">
        <v>87</v>
      </c>
      <c r="N11" s="39" t="s">
        <v>88</v>
      </c>
      <c r="O11" s="38">
        <v>0</v>
      </c>
      <c r="P11" s="39" t="s">
        <v>89</v>
      </c>
      <c r="Q11" s="39" t="s">
        <v>82</v>
      </c>
      <c r="R11" s="40">
        <v>526</v>
      </c>
      <c r="S11" s="39" t="s">
        <v>90</v>
      </c>
      <c r="T11" s="36" t="s">
        <v>40</v>
      </c>
      <c r="U11" s="36" t="s">
        <v>40</v>
      </c>
      <c r="V11" s="36" t="s">
        <v>40</v>
      </c>
      <c r="W11" s="39" t="s">
        <v>91</v>
      </c>
    </row>
    <row r="12" spans="1:23" ht="46" x14ac:dyDescent="0.3">
      <c r="A12" s="32">
        <v>9</v>
      </c>
      <c r="B12" s="33" t="s">
        <v>92</v>
      </c>
      <c r="C12" s="34" t="s">
        <v>93</v>
      </c>
      <c r="D12" s="33" t="s">
        <v>27</v>
      </c>
      <c r="E12" s="34" t="s">
        <v>28</v>
      </c>
      <c r="F12" s="41">
        <v>940102</v>
      </c>
      <c r="G12" s="33" t="s">
        <v>61</v>
      </c>
      <c r="H12" s="33" t="s">
        <v>94</v>
      </c>
      <c r="I12" s="34" t="s">
        <v>30</v>
      </c>
      <c r="J12" s="34" t="s">
        <v>95</v>
      </c>
      <c r="K12" s="34" t="s">
        <v>96</v>
      </c>
      <c r="L12" s="33" t="s">
        <v>33</v>
      </c>
      <c r="M12" s="33" t="s">
        <v>97</v>
      </c>
      <c r="N12" s="34" t="s">
        <v>98</v>
      </c>
      <c r="O12" s="33">
        <v>9</v>
      </c>
      <c r="P12" s="34" t="s">
        <v>99</v>
      </c>
      <c r="Q12" s="34" t="s">
        <v>100</v>
      </c>
      <c r="R12" s="35">
        <v>671</v>
      </c>
      <c r="S12" s="34" t="s">
        <v>101</v>
      </c>
      <c r="T12" s="36" t="s">
        <v>40</v>
      </c>
      <c r="U12" s="36" t="s">
        <v>40</v>
      </c>
      <c r="V12" s="36" t="s">
        <v>40</v>
      </c>
      <c r="W12" s="34" t="s">
        <v>102</v>
      </c>
    </row>
    <row r="13" spans="1:23" ht="57.5" x14ac:dyDescent="0.3">
      <c r="A13" s="37">
        <v>10</v>
      </c>
      <c r="B13" s="38" t="s">
        <v>92</v>
      </c>
      <c r="C13" s="39" t="s">
        <v>93</v>
      </c>
      <c r="D13" s="38" t="s">
        <v>27</v>
      </c>
      <c r="E13" s="39" t="s">
        <v>41</v>
      </c>
      <c r="F13" s="38" t="s">
        <v>67</v>
      </c>
      <c r="G13" s="38" t="s">
        <v>68</v>
      </c>
      <c r="H13" s="38" t="s">
        <v>94</v>
      </c>
      <c r="I13" s="39" t="s">
        <v>42</v>
      </c>
      <c r="J13" s="39" t="s">
        <v>103</v>
      </c>
      <c r="K13" s="39" t="s">
        <v>104</v>
      </c>
      <c r="L13" s="38" t="s">
        <v>33</v>
      </c>
      <c r="M13" s="38" t="s">
        <v>105</v>
      </c>
      <c r="N13" s="39" t="s">
        <v>98</v>
      </c>
      <c r="O13" s="38">
        <v>13</v>
      </c>
      <c r="P13" s="39" t="s">
        <v>106</v>
      </c>
      <c r="Q13" s="39" t="s">
        <v>107</v>
      </c>
      <c r="R13" s="40">
        <v>19914</v>
      </c>
      <c r="S13" s="42" t="s">
        <v>108</v>
      </c>
      <c r="T13" s="36" t="s">
        <v>40</v>
      </c>
      <c r="U13" s="36" t="s">
        <v>40</v>
      </c>
      <c r="V13" s="36" t="s">
        <v>40</v>
      </c>
      <c r="W13" s="39"/>
    </row>
    <row r="14" spans="1:23" ht="34.5" x14ac:dyDescent="0.3">
      <c r="A14" s="32">
        <v>11</v>
      </c>
      <c r="B14" s="33" t="s">
        <v>109</v>
      </c>
      <c r="C14" s="34" t="s">
        <v>110</v>
      </c>
      <c r="D14" s="33" t="s">
        <v>27</v>
      </c>
      <c r="E14" s="34" t="s">
        <v>41</v>
      </c>
      <c r="F14" s="33" t="s">
        <v>67</v>
      </c>
      <c r="G14" s="33" t="s">
        <v>68</v>
      </c>
      <c r="H14" s="33" t="s">
        <v>111</v>
      </c>
      <c r="I14" s="34" t="s">
        <v>30</v>
      </c>
      <c r="J14" s="34" t="s">
        <v>112</v>
      </c>
      <c r="K14" s="34" t="s">
        <v>113</v>
      </c>
      <c r="L14" s="33" t="s">
        <v>33</v>
      </c>
      <c r="M14" s="33" t="s">
        <v>114</v>
      </c>
      <c r="N14" s="34" t="s">
        <v>98</v>
      </c>
      <c r="O14" s="33">
        <v>0</v>
      </c>
      <c r="P14" s="34" t="s">
        <v>115</v>
      </c>
      <c r="Q14" s="34" t="s">
        <v>116</v>
      </c>
      <c r="R14" s="35">
        <v>19688</v>
      </c>
      <c r="S14" s="42" t="s">
        <v>117</v>
      </c>
      <c r="T14" s="36" t="s">
        <v>40</v>
      </c>
      <c r="U14" s="36" t="s">
        <v>40</v>
      </c>
      <c r="V14" s="36" t="s">
        <v>40</v>
      </c>
      <c r="W14" s="34" t="s">
        <v>118</v>
      </c>
    </row>
    <row r="15" spans="1:23" ht="34.5" x14ac:dyDescent="0.3">
      <c r="A15" s="37">
        <v>12</v>
      </c>
      <c r="B15" s="38" t="s">
        <v>109</v>
      </c>
      <c r="C15" s="39" t="s">
        <v>110</v>
      </c>
      <c r="D15" s="38" t="s">
        <v>27</v>
      </c>
      <c r="E15" s="39" t="s">
        <v>28</v>
      </c>
      <c r="F15" s="43">
        <v>940102</v>
      </c>
      <c r="G15" s="38" t="s">
        <v>61</v>
      </c>
      <c r="H15" s="38" t="s">
        <v>111</v>
      </c>
      <c r="I15" s="39" t="s">
        <v>42</v>
      </c>
      <c r="J15" s="39" t="s">
        <v>119</v>
      </c>
      <c r="K15" s="39" t="s">
        <v>120</v>
      </c>
      <c r="L15" s="38" t="s">
        <v>33</v>
      </c>
      <c r="M15" s="38" t="s">
        <v>121</v>
      </c>
      <c r="N15" s="39" t="s">
        <v>98</v>
      </c>
      <c r="O15" s="38">
        <v>0</v>
      </c>
      <c r="P15" s="39" t="s">
        <v>122</v>
      </c>
      <c r="Q15" s="39" t="s">
        <v>123</v>
      </c>
      <c r="R15" s="40">
        <v>217</v>
      </c>
      <c r="S15" s="39" t="s">
        <v>101</v>
      </c>
      <c r="T15" s="36" t="s">
        <v>40</v>
      </c>
      <c r="U15" s="36" t="s">
        <v>40</v>
      </c>
      <c r="V15" s="36" t="s">
        <v>40</v>
      </c>
      <c r="W15" s="39"/>
    </row>
    <row r="16" spans="1:23" ht="34.5" x14ac:dyDescent="0.3">
      <c r="A16" s="32">
        <v>13</v>
      </c>
      <c r="B16" s="33" t="s">
        <v>124</v>
      </c>
      <c r="C16" s="34" t="s">
        <v>125</v>
      </c>
      <c r="D16" s="33" t="s">
        <v>27</v>
      </c>
      <c r="E16" s="34" t="s">
        <v>41</v>
      </c>
      <c r="F16" s="33" t="s">
        <v>67</v>
      </c>
      <c r="G16" s="33" t="s">
        <v>68</v>
      </c>
      <c r="H16" s="33" t="s">
        <v>94</v>
      </c>
      <c r="I16" s="34" t="s">
        <v>30</v>
      </c>
      <c r="J16" s="34" t="s">
        <v>126</v>
      </c>
      <c r="K16" s="34" t="s">
        <v>127</v>
      </c>
      <c r="L16" s="33" t="s">
        <v>33</v>
      </c>
      <c r="M16" s="33" t="s">
        <v>128</v>
      </c>
      <c r="N16" s="34" t="s">
        <v>98</v>
      </c>
      <c r="O16" s="33">
        <v>0</v>
      </c>
      <c r="P16" s="34" t="s">
        <v>129</v>
      </c>
      <c r="Q16" s="34" t="s">
        <v>130</v>
      </c>
      <c r="R16" s="35">
        <v>527</v>
      </c>
      <c r="S16" s="34" t="s">
        <v>101</v>
      </c>
      <c r="T16" s="36" t="s">
        <v>40</v>
      </c>
      <c r="U16" s="36" t="s">
        <v>40</v>
      </c>
      <c r="V16" s="36" t="s">
        <v>40</v>
      </c>
      <c r="W16" s="34" t="s">
        <v>131</v>
      </c>
    </row>
    <row r="17" spans="1:23" ht="46" x14ac:dyDescent="0.3">
      <c r="A17" s="37">
        <v>14</v>
      </c>
      <c r="B17" s="38" t="s">
        <v>124</v>
      </c>
      <c r="C17" s="39" t="s">
        <v>125</v>
      </c>
      <c r="D17" s="38" t="s">
        <v>27</v>
      </c>
      <c r="E17" s="39" t="s">
        <v>28</v>
      </c>
      <c r="F17" s="43">
        <v>940102</v>
      </c>
      <c r="G17" s="38" t="s">
        <v>61</v>
      </c>
      <c r="H17" s="44" t="s">
        <v>132</v>
      </c>
      <c r="I17" s="39" t="s">
        <v>42</v>
      </c>
      <c r="J17" s="45" t="s">
        <v>133</v>
      </c>
      <c r="K17" s="45" t="s">
        <v>134</v>
      </c>
      <c r="L17" s="45" t="s">
        <v>135</v>
      </c>
      <c r="M17" s="44" t="s">
        <v>136</v>
      </c>
      <c r="N17" s="39" t="s">
        <v>98</v>
      </c>
      <c r="O17" s="38">
        <v>17</v>
      </c>
      <c r="P17" s="45" t="s">
        <v>137</v>
      </c>
      <c r="Q17" s="45" t="s">
        <v>138</v>
      </c>
      <c r="R17" s="44">
        <v>484</v>
      </c>
      <c r="S17" s="45" t="s">
        <v>139</v>
      </c>
      <c r="T17" s="36" t="s">
        <v>40</v>
      </c>
      <c r="U17" s="36" t="s">
        <v>40</v>
      </c>
      <c r="V17" s="36" t="s">
        <v>40</v>
      </c>
      <c r="W17" s="45" t="s">
        <v>140</v>
      </c>
    </row>
    <row r="18" spans="1:23" ht="23" x14ac:dyDescent="0.3">
      <c r="A18" s="32">
        <v>15</v>
      </c>
      <c r="B18" s="33" t="s">
        <v>141</v>
      </c>
      <c r="C18" s="34" t="s">
        <v>142</v>
      </c>
      <c r="D18" s="33" t="s">
        <v>27</v>
      </c>
      <c r="E18" s="34" t="s">
        <v>28</v>
      </c>
      <c r="F18" s="41">
        <v>940102</v>
      </c>
      <c r="G18" s="33" t="s">
        <v>61</v>
      </c>
      <c r="H18" s="33" t="s">
        <v>143</v>
      </c>
      <c r="I18" s="34" t="s">
        <v>30</v>
      </c>
      <c r="J18" s="34" t="s">
        <v>144</v>
      </c>
      <c r="K18" s="34" t="s">
        <v>145</v>
      </c>
      <c r="L18" s="33" t="s">
        <v>33</v>
      </c>
      <c r="M18" s="33" t="s">
        <v>146</v>
      </c>
      <c r="N18" s="34" t="s">
        <v>98</v>
      </c>
      <c r="O18" s="33">
        <v>0</v>
      </c>
      <c r="P18" s="34" t="s">
        <v>147</v>
      </c>
      <c r="Q18" s="34" t="s">
        <v>148</v>
      </c>
      <c r="R18" s="35">
        <v>596</v>
      </c>
      <c r="S18" s="34" t="s">
        <v>149</v>
      </c>
      <c r="T18" s="36" t="s">
        <v>40</v>
      </c>
      <c r="U18" s="36" t="s">
        <v>40</v>
      </c>
      <c r="V18" s="36" t="s">
        <v>40</v>
      </c>
      <c r="W18" s="34"/>
    </row>
    <row r="19" spans="1:23" ht="23" x14ac:dyDescent="0.3">
      <c r="A19" s="37">
        <v>16</v>
      </c>
      <c r="B19" s="38" t="s">
        <v>141</v>
      </c>
      <c r="C19" s="39" t="s">
        <v>142</v>
      </c>
      <c r="D19" s="38" t="s">
        <v>27</v>
      </c>
      <c r="E19" s="39" t="s">
        <v>41</v>
      </c>
      <c r="F19" s="38" t="s">
        <v>67</v>
      </c>
      <c r="G19" s="38" t="s">
        <v>68</v>
      </c>
      <c r="H19" s="38" t="s">
        <v>143</v>
      </c>
      <c r="I19" s="39" t="s">
        <v>42</v>
      </c>
      <c r="J19" s="39" t="s">
        <v>144</v>
      </c>
      <c r="K19" s="39" t="s">
        <v>150</v>
      </c>
      <c r="L19" s="38" t="s">
        <v>33</v>
      </c>
      <c r="M19" s="38" t="s">
        <v>151</v>
      </c>
      <c r="N19" s="39" t="s">
        <v>98</v>
      </c>
      <c r="O19" s="38">
        <v>0</v>
      </c>
      <c r="P19" s="39" t="s">
        <v>152</v>
      </c>
      <c r="Q19" s="39" t="s">
        <v>153</v>
      </c>
      <c r="R19" s="40">
        <v>571</v>
      </c>
      <c r="S19" s="39" t="s">
        <v>154</v>
      </c>
      <c r="T19" s="36" t="s">
        <v>40</v>
      </c>
      <c r="U19" s="36" t="s">
        <v>40</v>
      </c>
      <c r="V19" s="36" t="s">
        <v>40</v>
      </c>
      <c r="W19" s="39" t="s">
        <v>155</v>
      </c>
    </row>
    <row r="20" spans="1:23" ht="34.5" x14ac:dyDescent="0.3">
      <c r="A20" s="32">
        <v>17</v>
      </c>
      <c r="B20" s="33" t="s">
        <v>156</v>
      </c>
      <c r="C20" s="34" t="s">
        <v>157</v>
      </c>
      <c r="D20" s="33" t="s">
        <v>27</v>
      </c>
      <c r="E20" s="34" t="s">
        <v>41</v>
      </c>
      <c r="F20" s="33" t="s">
        <v>67</v>
      </c>
      <c r="G20" s="33" t="s">
        <v>68</v>
      </c>
      <c r="H20" s="33" t="s">
        <v>94</v>
      </c>
      <c r="I20" s="34" t="s">
        <v>30</v>
      </c>
      <c r="J20" s="34" t="s">
        <v>158</v>
      </c>
      <c r="K20" s="34" t="s">
        <v>159</v>
      </c>
      <c r="L20" s="33" t="s">
        <v>33</v>
      </c>
      <c r="M20" s="33" t="s">
        <v>160</v>
      </c>
      <c r="N20" s="34" t="s">
        <v>161</v>
      </c>
      <c r="O20" s="33">
        <v>0</v>
      </c>
      <c r="P20" s="34" t="s">
        <v>162</v>
      </c>
      <c r="Q20" s="34" t="s">
        <v>163</v>
      </c>
      <c r="R20" s="35">
        <v>4183</v>
      </c>
      <c r="S20" s="34" t="s">
        <v>164</v>
      </c>
      <c r="T20" s="36" t="s">
        <v>40</v>
      </c>
      <c r="U20" s="36" t="s">
        <v>40</v>
      </c>
      <c r="V20" s="36" t="s">
        <v>40</v>
      </c>
      <c r="W20" s="34" t="s">
        <v>165</v>
      </c>
    </row>
    <row r="21" spans="1:23" ht="34.5" x14ac:dyDescent="0.3">
      <c r="A21" s="37">
        <v>18</v>
      </c>
      <c r="B21" s="38" t="s">
        <v>156</v>
      </c>
      <c r="C21" s="39" t="s">
        <v>157</v>
      </c>
      <c r="D21" s="38" t="s">
        <v>27</v>
      </c>
      <c r="E21" s="39" t="s">
        <v>28</v>
      </c>
      <c r="F21" s="43">
        <v>940102</v>
      </c>
      <c r="G21" s="38" t="s">
        <v>61</v>
      </c>
      <c r="H21" s="38" t="s">
        <v>111</v>
      </c>
      <c r="I21" s="39" t="s">
        <v>42</v>
      </c>
      <c r="J21" s="39" t="s">
        <v>166</v>
      </c>
      <c r="K21" s="39" t="s">
        <v>167</v>
      </c>
      <c r="L21" s="38" t="s">
        <v>33</v>
      </c>
      <c r="M21" s="38" t="s">
        <v>168</v>
      </c>
      <c r="N21" s="39" t="s">
        <v>161</v>
      </c>
      <c r="O21" s="38">
        <v>0</v>
      </c>
      <c r="P21" s="39" t="s">
        <v>169</v>
      </c>
      <c r="Q21" s="39" t="s">
        <v>170</v>
      </c>
      <c r="R21" s="40">
        <v>3283</v>
      </c>
      <c r="S21" s="39" t="s">
        <v>101</v>
      </c>
      <c r="T21" s="36" t="s">
        <v>40</v>
      </c>
      <c r="U21" s="36" t="s">
        <v>40</v>
      </c>
      <c r="V21" s="36" t="s">
        <v>40</v>
      </c>
      <c r="W21" s="39" t="s">
        <v>171</v>
      </c>
    </row>
    <row r="22" spans="1:23" ht="34.5" x14ac:dyDescent="0.3">
      <c r="A22" s="32">
        <v>19</v>
      </c>
      <c r="B22" s="33" t="s">
        <v>172</v>
      </c>
      <c r="C22" s="34" t="s">
        <v>173</v>
      </c>
      <c r="D22" s="33" t="s">
        <v>27</v>
      </c>
      <c r="E22" s="34" t="s">
        <v>41</v>
      </c>
      <c r="F22" s="33" t="s">
        <v>67</v>
      </c>
      <c r="G22" s="33" t="s">
        <v>68</v>
      </c>
      <c r="H22" s="33" t="s">
        <v>94</v>
      </c>
      <c r="I22" s="34" t="s">
        <v>30</v>
      </c>
      <c r="J22" s="34" t="s">
        <v>174</v>
      </c>
      <c r="K22" s="34" t="s">
        <v>175</v>
      </c>
      <c r="L22" s="33" t="s">
        <v>33</v>
      </c>
      <c r="M22" s="33" t="s">
        <v>176</v>
      </c>
      <c r="N22" s="34" t="s">
        <v>98</v>
      </c>
      <c r="O22" s="33">
        <v>1</v>
      </c>
      <c r="P22" s="34" t="s">
        <v>177</v>
      </c>
      <c r="Q22" s="34" t="s">
        <v>178</v>
      </c>
      <c r="R22" s="35">
        <v>6053</v>
      </c>
      <c r="S22" s="34" t="s">
        <v>101</v>
      </c>
      <c r="T22" s="36" t="s">
        <v>40</v>
      </c>
      <c r="U22" s="36" t="s">
        <v>40</v>
      </c>
      <c r="V22" s="36" t="s">
        <v>40</v>
      </c>
      <c r="W22" s="34"/>
    </row>
    <row r="23" spans="1:23" ht="23" x14ac:dyDescent="0.3">
      <c r="A23" s="37">
        <v>20</v>
      </c>
      <c r="B23" s="38" t="s">
        <v>172</v>
      </c>
      <c r="C23" s="39" t="s">
        <v>173</v>
      </c>
      <c r="D23" s="38" t="s">
        <v>27</v>
      </c>
      <c r="E23" s="39" t="s">
        <v>28</v>
      </c>
      <c r="F23" s="43">
        <v>940102</v>
      </c>
      <c r="G23" s="38" t="s">
        <v>61</v>
      </c>
      <c r="H23" s="38" t="s">
        <v>111</v>
      </c>
      <c r="I23" s="39" t="s">
        <v>42</v>
      </c>
      <c r="J23" s="39" t="s">
        <v>179</v>
      </c>
      <c r="K23" s="39" t="s">
        <v>180</v>
      </c>
      <c r="L23" s="38" t="s">
        <v>33</v>
      </c>
      <c r="M23" s="38" t="s">
        <v>181</v>
      </c>
      <c r="N23" s="39" t="s">
        <v>98</v>
      </c>
      <c r="O23" s="38">
        <v>1</v>
      </c>
      <c r="P23" s="39" t="s">
        <v>182</v>
      </c>
      <c r="Q23" s="39" t="s">
        <v>183</v>
      </c>
      <c r="R23" s="40">
        <v>78566</v>
      </c>
      <c r="S23" s="42" t="s">
        <v>108</v>
      </c>
      <c r="T23" s="36" t="s">
        <v>40</v>
      </c>
      <c r="U23" s="36" t="s">
        <v>40</v>
      </c>
      <c r="V23" s="36" t="s">
        <v>40</v>
      </c>
      <c r="W23" s="39" t="s">
        <v>184</v>
      </c>
    </row>
    <row r="24" spans="1:23" ht="34.5" x14ac:dyDescent="0.3">
      <c r="A24" s="32">
        <v>21</v>
      </c>
      <c r="B24" s="33" t="s">
        <v>185</v>
      </c>
      <c r="C24" s="34" t="s">
        <v>186</v>
      </c>
      <c r="D24" s="33" t="s">
        <v>27</v>
      </c>
      <c r="E24" s="34" t="s">
        <v>28</v>
      </c>
      <c r="F24" s="41">
        <v>940102</v>
      </c>
      <c r="G24" s="33" t="s">
        <v>61</v>
      </c>
      <c r="H24" s="33" t="s">
        <v>187</v>
      </c>
      <c r="I24" s="34" t="s">
        <v>30</v>
      </c>
      <c r="J24" s="34" t="s">
        <v>188</v>
      </c>
      <c r="K24" s="34" t="s">
        <v>189</v>
      </c>
      <c r="L24" s="33" t="s">
        <v>33</v>
      </c>
      <c r="M24" s="33" t="s">
        <v>190</v>
      </c>
      <c r="N24" s="34" t="s">
        <v>98</v>
      </c>
      <c r="O24" s="33">
        <v>0</v>
      </c>
      <c r="P24" s="34" t="s">
        <v>191</v>
      </c>
      <c r="Q24" s="34" t="s">
        <v>192</v>
      </c>
      <c r="R24" s="35">
        <v>1137</v>
      </c>
      <c r="S24" s="34" t="s">
        <v>101</v>
      </c>
      <c r="T24" s="36" t="s">
        <v>40</v>
      </c>
      <c r="U24" s="36" t="s">
        <v>40</v>
      </c>
      <c r="V24" s="36" t="s">
        <v>40</v>
      </c>
      <c r="W24" s="34"/>
    </row>
    <row r="25" spans="1:23" ht="34.5" x14ac:dyDescent="0.3">
      <c r="A25" s="37">
        <v>22</v>
      </c>
      <c r="B25" s="38" t="s">
        <v>185</v>
      </c>
      <c r="C25" s="39" t="s">
        <v>186</v>
      </c>
      <c r="D25" s="38" t="s">
        <v>27</v>
      </c>
      <c r="E25" s="39" t="s">
        <v>41</v>
      </c>
      <c r="F25" s="38" t="s">
        <v>67</v>
      </c>
      <c r="G25" s="38" t="s">
        <v>68</v>
      </c>
      <c r="H25" s="38" t="s">
        <v>187</v>
      </c>
      <c r="I25" s="39" t="s">
        <v>42</v>
      </c>
      <c r="J25" s="39" t="s">
        <v>188</v>
      </c>
      <c r="K25" s="39" t="s">
        <v>193</v>
      </c>
      <c r="L25" s="38" t="s">
        <v>33</v>
      </c>
      <c r="M25" s="38" t="s">
        <v>194</v>
      </c>
      <c r="N25" s="39" t="s">
        <v>98</v>
      </c>
      <c r="O25" s="38">
        <v>0</v>
      </c>
      <c r="P25" s="39" t="s">
        <v>195</v>
      </c>
      <c r="Q25" s="39" t="s">
        <v>196</v>
      </c>
      <c r="R25" s="40">
        <v>1662</v>
      </c>
      <c r="S25" s="39" t="s">
        <v>101</v>
      </c>
      <c r="T25" s="36" t="s">
        <v>40</v>
      </c>
      <c r="U25" s="36" t="s">
        <v>40</v>
      </c>
      <c r="V25" s="36" t="s">
        <v>40</v>
      </c>
      <c r="W25" s="39" t="s">
        <v>171</v>
      </c>
    </row>
    <row r="26" spans="1:23" ht="34.5" x14ac:dyDescent="0.3">
      <c r="A26" s="32">
        <v>23</v>
      </c>
      <c r="B26" s="33" t="s">
        <v>197</v>
      </c>
      <c r="C26" s="34" t="s">
        <v>198</v>
      </c>
      <c r="D26" s="33" t="s">
        <v>27</v>
      </c>
      <c r="E26" s="34" t="s">
        <v>41</v>
      </c>
      <c r="F26" s="33" t="s">
        <v>67</v>
      </c>
      <c r="G26" s="33" t="s">
        <v>68</v>
      </c>
      <c r="H26" s="33" t="s">
        <v>94</v>
      </c>
      <c r="I26" s="34" t="s">
        <v>30</v>
      </c>
      <c r="J26" s="34" t="s">
        <v>199</v>
      </c>
      <c r="K26" s="34" t="s">
        <v>200</v>
      </c>
      <c r="L26" s="33" t="s">
        <v>33</v>
      </c>
      <c r="M26" s="33" t="s">
        <v>201</v>
      </c>
      <c r="N26" s="34" t="s">
        <v>98</v>
      </c>
      <c r="O26" s="33">
        <v>13</v>
      </c>
      <c r="P26" s="34" t="s">
        <v>202</v>
      </c>
      <c r="Q26" s="34" t="s">
        <v>203</v>
      </c>
      <c r="R26" s="35">
        <v>401</v>
      </c>
      <c r="S26" s="34" t="s">
        <v>101</v>
      </c>
      <c r="T26" s="36" t="s">
        <v>40</v>
      </c>
      <c r="U26" s="36" t="s">
        <v>40</v>
      </c>
      <c r="V26" s="36" t="s">
        <v>40</v>
      </c>
      <c r="W26" s="34" t="s">
        <v>204</v>
      </c>
    </row>
    <row r="27" spans="1:23" ht="57.5" x14ac:dyDescent="0.3">
      <c r="A27" s="37">
        <v>24</v>
      </c>
      <c r="B27" s="38" t="s">
        <v>197</v>
      </c>
      <c r="C27" s="39" t="s">
        <v>198</v>
      </c>
      <c r="D27" s="38" t="s">
        <v>27</v>
      </c>
      <c r="E27" s="39" t="s">
        <v>28</v>
      </c>
      <c r="F27" s="43">
        <v>940102</v>
      </c>
      <c r="G27" s="38" t="s">
        <v>61</v>
      </c>
      <c r="H27" s="38" t="s">
        <v>94</v>
      </c>
      <c r="I27" s="39" t="s">
        <v>42</v>
      </c>
      <c r="J27" s="45" t="s">
        <v>205</v>
      </c>
      <c r="K27" s="45" t="s">
        <v>206</v>
      </c>
      <c r="L27" s="45" t="s">
        <v>135</v>
      </c>
      <c r="M27" s="44" t="s">
        <v>207</v>
      </c>
      <c r="N27" s="39" t="s">
        <v>98</v>
      </c>
      <c r="O27" s="38">
        <v>0</v>
      </c>
      <c r="P27" s="45" t="s">
        <v>208</v>
      </c>
      <c r="Q27" s="45" t="s">
        <v>209</v>
      </c>
      <c r="R27" s="44">
        <v>772</v>
      </c>
      <c r="S27" s="45" t="s">
        <v>210</v>
      </c>
      <c r="T27" s="36" t="s">
        <v>40</v>
      </c>
      <c r="U27" s="36" t="s">
        <v>40</v>
      </c>
      <c r="V27" s="36" t="s">
        <v>40</v>
      </c>
      <c r="W27" s="45" t="s">
        <v>211</v>
      </c>
    </row>
    <row r="28" spans="1:23" ht="23" x14ac:dyDescent="0.3">
      <c r="A28" s="32">
        <v>25</v>
      </c>
      <c r="B28" s="33" t="s">
        <v>212</v>
      </c>
      <c r="C28" s="34" t="s">
        <v>213</v>
      </c>
      <c r="D28" s="33" t="s">
        <v>27</v>
      </c>
      <c r="E28" s="34" t="s">
        <v>28</v>
      </c>
      <c r="F28" s="41">
        <v>940102</v>
      </c>
      <c r="G28" s="33" t="s">
        <v>61</v>
      </c>
      <c r="H28" s="33" t="s">
        <v>214</v>
      </c>
      <c r="I28" s="34" t="s">
        <v>30</v>
      </c>
      <c r="J28" s="34" t="s">
        <v>215</v>
      </c>
      <c r="K28" s="34" t="s">
        <v>216</v>
      </c>
      <c r="L28" s="33" t="s">
        <v>33</v>
      </c>
      <c r="M28" s="33" t="s">
        <v>217</v>
      </c>
      <c r="N28" s="34" t="s">
        <v>98</v>
      </c>
      <c r="O28" s="33">
        <v>0</v>
      </c>
      <c r="P28" s="34" t="s">
        <v>218</v>
      </c>
      <c r="Q28" s="34" t="s">
        <v>219</v>
      </c>
      <c r="R28" s="35">
        <v>1332</v>
      </c>
      <c r="S28" s="34" t="s">
        <v>101</v>
      </c>
      <c r="T28" s="36" t="s">
        <v>40</v>
      </c>
      <c r="U28" s="36" t="s">
        <v>40</v>
      </c>
      <c r="V28" s="36" t="s">
        <v>40</v>
      </c>
      <c r="W28" s="34" t="s">
        <v>220</v>
      </c>
    </row>
    <row r="29" spans="1:23" ht="23" x14ac:dyDescent="0.3">
      <c r="A29" s="37">
        <v>26</v>
      </c>
      <c r="B29" s="38" t="s">
        <v>212</v>
      </c>
      <c r="C29" s="39" t="s">
        <v>213</v>
      </c>
      <c r="D29" s="38" t="s">
        <v>27</v>
      </c>
      <c r="E29" s="39" t="s">
        <v>41</v>
      </c>
      <c r="F29" s="38" t="s">
        <v>67</v>
      </c>
      <c r="G29" s="38" t="s">
        <v>68</v>
      </c>
      <c r="H29" s="38" t="s">
        <v>221</v>
      </c>
      <c r="I29" s="39" t="s">
        <v>42</v>
      </c>
      <c r="J29" s="39" t="s">
        <v>222</v>
      </c>
      <c r="K29" s="39" t="s">
        <v>223</v>
      </c>
      <c r="L29" s="38" t="s">
        <v>33</v>
      </c>
      <c r="M29" s="38" t="s">
        <v>224</v>
      </c>
      <c r="N29" s="39" t="s">
        <v>98</v>
      </c>
      <c r="O29" s="38">
        <v>0</v>
      </c>
      <c r="P29" s="39" t="s">
        <v>225</v>
      </c>
      <c r="Q29" s="39" t="s">
        <v>226</v>
      </c>
      <c r="R29" s="40">
        <v>5170</v>
      </c>
      <c r="S29" s="39" t="s">
        <v>101</v>
      </c>
      <c r="T29" s="36" t="s">
        <v>40</v>
      </c>
      <c r="U29" s="36" t="s">
        <v>40</v>
      </c>
      <c r="V29" s="36" t="s">
        <v>40</v>
      </c>
      <c r="W29" s="39" t="s">
        <v>227</v>
      </c>
    </row>
    <row r="30" spans="1:23" ht="34.5" x14ac:dyDescent="0.3">
      <c r="A30" s="32">
        <v>27</v>
      </c>
      <c r="B30" s="33" t="s">
        <v>228</v>
      </c>
      <c r="C30" s="34" t="s">
        <v>229</v>
      </c>
      <c r="D30" s="33" t="s">
        <v>27</v>
      </c>
      <c r="E30" s="34" t="s">
        <v>41</v>
      </c>
      <c r="F30" s="33" t="s">
        <v>67</v>
      </c>
      <c r="G30" s="33" t="s">
        <v>68</v>
      </c>
      <c r="H30" s="33" t="s">
        <v>187</v>
      </c>
      <c r="I30" s="34" t="s">
        <v>30</v>
      </c>
      <c r="J30" s="34" t="s">
        <v>230</v>
      </c>
      <c r="K30" s="34" t="s">
        <v>231</v>
      </c>
      <c r="L30" s="33" t="s">
        <v>33</v>
      </c>
      <c r="M30" s="33" t="s">
        <v>232</v>
      </c>
      <c r="N30" s="34" t="s">
        <v>98</v>
      </c>
      <c r="O30" s="33">
        <v>24</v>
      </c>
      <c r="P30" s="34" t="s">
        <v>233</v>
      </c>
      <c r="Q30" s="34" t="s">
        <v>234</v>
      </c>
      <c r="R30" s="35">
        <v>1073</v>
      </c>
      <c r="S30" s="34" t="s">
        <v>101</v>
      </c>
      <c r="T30" s="36" t="s">
        <v>40</v>
      </c>
      <c r="U30" s="36" t="s">
        <v>40</v>
      </c>
      <c r="V30" s="36" t="s">
        <v>40</v>
      </c>
      <c r="W30" s="34" t="s">
        <v>235</v>
      </c>
    </row>
    <row r="31" spans="1:23" ht="23" x14ac:dyDescent="0.3">
      <c r="A31" s="37">
        <v>28</v>
      </c>
      <c r="B31" s="38" t="s">
        <v>228</v>
      </c>
      <c r="C31" s="39" t="s">
        <v>229</v>
      </c>
      <c r="D31" s="38" t="s">
        <v>27</v>
      </c>
      <c r="E31" s="39" t="s">
        <v>28</v>
      </c>
      <c r="F31" s="43">
        <v>940102</v>
      </c>
      <c r="G31" s="38" t="s">
        <v>61</v>
      </c>
      <c r="H31" s="38" t="s">
        <v>187</v>
      </c>
      <c r="I31" s="39" t="s">
        <v>42</v>
      </c>
      <c r="J31" s="39" t="s">
        <v>230</v>
      </c>
      <c r="K31" s="39" t="s">
        <v>236</v>
      </c>
      <c r="L31" s="38" t="s">
        <v>33</v>
      </c>
      <c r="M31" s="38" t="s">
        <v>237</v>
      </c>
      <c r="N31" s="39" t="s">
        <v>98</v>
      </c>
      <c r="O31" s="38">
        <v>17</v>
      </c>
      <c r="P31" s="39" t="s">
        <v>238</v>
      </c>
      <c r="Q31" s="39" t="s">
        <v>239</v>
      </c>
      <c r="R31" s="40">
        <v>755</v>
      </c>
      <c r="S31" s="39" t="s">
        <v>240</v>
      </c>
      <c r="T31" s="36" t="s">
        <v>40</v>
      </c>
      <c r="U31" s="36" t="s">
        <v>40</v>
      </c>
      <c r="V31" s="36" t="s">
        <v>40</v>
      </c>
      <c r="W31" s="39" t="s">
        <v>171</v>
      </c>
    </row>
    <row r="32" spans="1:23" ht="46" x14ac:dyDescent="0.3">
      <c r="A32" s="32">
        <v>29</v>
      </c>
      <c r="B32" s="33" t="s">
        <v>241</v>
      </c>
      <c r="C32" s="34" t="s">
        <v>242</v>
      </c>
      <c r="D32" s="33" t="s">
        <v>27</v>
      </c>
      <c r="E32" s="34" t="s">
        <v>41</v>
      </c>
      <c r="F32" s="33" t="s">
        <v>67</v>
      </c>
      <c r="G32" s="33" t="s">
        <v>68</v>
      </c>
      <c r="H32" s="33" t="s">
        <v>221</v>
      </c>
      <c r="I32" s="34" t="s">
        <v>30</v>
      </c>
      <c r="J32" s="34" t="s">
        <v>243</v>
      </c>
      <c r="K32" s="34" t="s">
        <v>244</v>
      </c>
      <c r="L32" s="33" t="s">
        <v>33</v>
      </c>
      <c r="M32" s="33" t="s">
        <v>245</v>
      </c>
      <c r="N32" s="34" t="s">
        <v>98</v>
      </c>
      <c r="O32" s="33">
        <v>2</v>
      </c>
      <c r="P32" s="34" t="s">
        <v>246</v>
      </c>
      <c r="Q32" s="34" t="s">
        <v>247</v>
      </c>
      <c r="R32" s="35">
        <v>6789</v>
      </c>
      <c r="S32" s="34" t="s">
        <v>101</v>
      </c>
      <c r="T32" s="36" t="s">
        <v>40</v>
      </c>
      <c r="U32" s="36" t="s">
        <v>40</v>
      </c>
      <c r="V32" s="36" t="s">
        <v>40</v>
      </c>
      <c r="W32" s="34"/>
    </row>
    <row r="33" spans="1:23" ht="46" x14ac:dyDescent="0.3">
      <c r="A33" s="37">
        <v>30</v>
      </c>
      <c r="B33" s="38" t="s">
        <v>241</v>
      </c>
      <c r="C33" s="39" t="s">
        <v>242</v>
      </c>
      <c r="D33" s="38" t="s">
        <v>27</v>
      </c>
      <c r="E33" s="39" t="s">
        <v>28</v>
      </c>
      <c r="F33" s="43">
        <v>940102</v>
      </c>
      <c r="G33" s="38" t="s">
        <v>61</v>
      </c>
      <c r="H33" s="38" t="s">
        <v>214</v>
      </c>
      <c r="I33" s="39" t="s">
        <v>42</v>
      </c>
      <c r="J33" s="39" t="s">
        <v>248</v>
      </c>
      <c r="K33" s="39" t="s">
        <v>249</v>
      </c>
      <c r="L33" s="38" t="s">
        <v>33</v>
      </c>
      <c r="M33" s="38" t="s">
        <v>250</v>
      </c>
      <c r="N33" s="39" t="s">
        <v>98</v>
      </c>
      <c r="O33" s="38">
        <v>2</v>
      </c>
      <c r="P33" s="39" t="s">
        <v>251</v>
      </c>
      <c r="Q33" s="39" t="s">
        <v>252</v>
      </c>
      <c r="R33" s="40">
        <v>11922</v>
      </c>
      <c r="S33" s="42" t="s">
        <v>108</v>
      </c>
      <c r="T33" s="36" t="s">
        <v>40</v>
      </c>
      <c r="U33" s="36" t="s">
        <v>40</v>
      </c>
      <c r="V33" s="36" t="s">
        <v>40</v>
      </c>
      <c r="W33" s="39" t="s">
        <v>253</v>
      </c>
    </row>
    <row r="34" spans="1:23" ht="23" x14ac:dyDescent="0.3">
      <c r="A34" s="32">
        <v>31</v>
      </c>
      <c r="B34" s="33" t="s">
        <v>254</v>
      </c>
      <c r="C34" s="34" t="s">
        <v>255</v>
      </c>
      <c r="D34" s="33" t="s">
        <v>27</v>
      </c>
      <c r="E34" s="34" t="s">
        <v>28</v>
      </c>
      <c r="F34" s="41">
        <v>940102</v>
      </c>
      <c r="G34" s="33" t="s">
        <v>61</v>
      </c>
      <c r="H34" s="33" t="s">
        <v>94</v>
      </c>
      <c r="I34" s="34" t="s">
        <v>30</v>
      </c>
      <c r="J34" s="34" t="s">
        <v>256</v>
      </c>
      <c r="K34" s="34" t="s">
        <v>257</v>
      </c>
      <c r="L34" s="33" t="s">
        <v>33</v>
      </c>
      <c r="M34" s="33" t="s">
        <v>258</v>
      </c>
      <c r="N34" s="34" t="s">
        <v>161</v>
      </c>
      <c r="O34" s="33">
        <v>0</v>
      </c>
      <c r="P34" s="34" t="s">
        <v>259</v>
      </c>
      <c r="Q34" s="34" t="s">
        <v>260</v>
      </c>
      <c r="R34" s="35">
        <v>4657</v>
      </c>
      <c r="S34" s="34" t="s">
        <v>101</v>
      </c>
      <c r="T34" s="36" t="s">
        <v>40</v>
      </c>
      <c r="U34" s="36" t="s">
        <v>40</v>
      </c>
      <c r="V34" s="36" t="s">
        <v>40</v>
      </c>
      <c r="W34" s="34"/>
    </row>
    <row r="35" spans="1:23" ht="23" x14ac:dyDescent="0.3">
      <c r="A35" s="37">
        <v>32</v>
      </c>
      <c r="B35" s="38" t="s">
        <v>254</v>
      </c>
      <c r="C35" s="39" t="s">
        <v>255</v>
      </c>
      <c r="D35" s="38" t="s">
        <v>27</v>
      </c>
      <c r="E35" s="39" t="s">
        <v>41</v>
      </c>
      <c r="F35" s="38" t="s">
        <v>67</v>
      </c>
      <c r="G35" s="38" t="s">
        <v>68</v>
      </c>
      <c r="H35" s="38" t="s">
        <v>94</v>
      </c>
      <c r="I35" s="39" t="s">
        <v>42</v>
      </c>
      <c r="J35" s="39" t="s">
        <v>261</v>
      </c>
      <c r="K35" s="39" t="s">
        <v>262</v>
      </c>
      <c r="L35" s="38" t="s">
        <v>33</v>
      </c>
      <c r="M35" s="38" t="s">
        <v>263</v>
      </c>
      <c r="N35" s="39" t="s">
        <v>161</v>
      </c>
      <c r="O35" s="38">
        <v>0</v>
      </c>
      <c r="P35" s="39" t="s">
        <v>264</v>
      </c>
      <c r="Q35" s="39" t="s">
        <v>265</v>
      </c>
      <c r="R35" s="40">
        <v>3973</v>
      </c>
      <c r="S35" s="39" t="s">
        <v>101</v>
      </c>
      <c r="T35" s="36" t="s">
        <v>40</v>
      </c>
      <c r="U35" s="36" t="s">
        <v>40</v>
      </c>
      <c r="V35" s="36" t="s">
        <v>40</v>
      </c>
      <c r="W35" s="39" t="s">
        <v>171</v>
      </c>
    </row>
    <row r="36" spans="1:23" ht="23" x14ac:dyDescent="0.3">
      <c r="A36" s="32">
        <v>33</v>
      </c>
      <c r="B36" s="33" t="s">
        <v>266</v>
      </c>
      <c r="C36" s="34" t="s">
        <v>267</v>
      </c>
      <c r="D36" s="33" t="s">
        <v>268</v>
      </c>
      <c r="E36" s="34" t="s">
        <v>41</v>
      </c>
      <c r="F36" s="33" t="s">
        <v>67</v>
      </c>
      <c r="G36" s="33" t="s">
        <v>68</v>
      </c>
      <c r="H36" s="33" t="s">
        <v>29</v>
      </c>
      <c r="I36" s="34" t="s">
        <v>30</v>
      </c>
      <c r="J36" s="34" t="s">
        <v>269</v>
      </c>
      <c r="K36" s="34" t="s">
        <v>270</v>
      </c>
      <c r="L36" s="33" t="s">
        <v>33</v>
      </c>
      <c r="M36" s="33" t="s">
        <v>271</v>
      </c>
      <c r="N36" s="34" t="s">
        <v>272</v>
      </c>
      <c r="O36" s="33">
        <v>0</v>
      </c>
      <c r="P36" s="34" t="s">
        <v>273</v>
      </c>
      <c r="Q36" s="34" t="s">
        <v>274</v>
      </c>
      <c r="R36" s="35">
        <v>5395</v>
      </c>
      <c r="S36" s="34" t="s">
        <v>101</v>
      </c>
      <c r="T36" s="36" t="s">
        <v>40</v>
      </c>
      <c r="U36" s="36" t="s">
        <v>40</v>
      </c>
      <c r="V36" s="36" t="s">
        <v>40</v>
      </c>
      <c r="W36" s="34"/>
    </row>
    <row r="37" spans="1:23" ht="23" x14ac:dyDescent="0.3">
      <c r="A37" s="37">
        <v>34</v>
      </c>
      <c r="B37" s="38" t="s">
        <v>266</v>
      </c>
      <c r="C37" s="39" t="s">
        <v>267</v>
      </c>
      <c r="D37" s="38" t="s">
        <v>268</v>
      </c>
      <c r="E37" s="39" t="s">
        <v>28</v>
      </c>
      <c r="F37" s="43">
        <v>940102</v>
      </c>
      <c r="G37" s="38" t="s">
        <v>61</v>
      </c>
      <c r="H37" s="38" t="s">
        <v>29</v>
      </c>
      <c r="I37" s="39" t="s">
        <v>42</v>
      </c>
      <c r="J37" s="39" t="s">
        <v>275</v>
      </c>
      <c r="K37" s="39" t="s">
        <v>276</v>
      </c>
      <c r="L37" s="38" t="s">
        <v>33</v>
      </c>
      <c r="M37" s="38" t="s">
        <v>277</v>
      </c>
      <c r="N37" s="39" t="s">
        <v>272</v>
      </c>
      <c r="O37" s="38">
        <v>0</v>
      </c>
      <c r="P37" s="39" t="s">
        <v>278</v>
      </c>
      <c r="Q37" s="39" t="s">
        <v>279</v>
      </c>
      <c r="R37" s="40">
        <v>4708</v>
      </c>
      <c r="S37" s="39" t="s">
        <v>101</v>
      </c>
      <c r="T37" s="36" t="s">
        <v>40</v>
      </c>
      <c r="U37" s="36" t="s">
        <v>40</v>
      </c>
      <c r="V37" s="36" t="s">
        <v>40</v>
      </c>
      <c r="W37" s="39" t="s">
        <v>171</v>
      </c>
    </row>
    <row r="38" spans="1:23" ht="23" x14ac:dyDescent="0.3">
      <c r="A38" s="32">
        <v>35</v>
      </c>
      <c r="B38" s="33" t="s">
        <v>280</v>
      </c>
      <c r="C38" s="34" t="s">
        <v>281</v>
      </c>
      <c r="D38" s="33" t="s">
        <v>268</v>
      </c>
      <c r="E38" s="34" t="s">
        <v>28</v>
      </c>
      <c r="F38" s="41">
        <v>940102</v>
      </c>
      <c r="G38" s="33" t="s">
        <v>61</v>
      </c>
      <c r="H38" s="33" t="s">
        <v>282</v>
      </c>
      <c r="I38" s="34" t="s">
        <v>30</v>
      </c>
      <c r="J38" s="34" t="s">
        <v>283</v>
      </c>
      <c r="K38" s="34" t="s">
        <v>284</v>
      </c>
      <c r="L38" s="33" t="s">
        <v>33</v>
      </c>
      <c r="M38" s="33" t="s">
        <v>285</v>
      </c>
      <c r="N38" s="34" t="s">
        <v>286</v>
      </c>
      <c r="O38" s="33">
        <v>0</v>
      </c>
      <c r="P38" s="34" t="s">
        <v>287</v>
      </c>
      <c r="Q38" s="34" t="s">
        <v>288</v>
      </c>
      <c r="R38" s="35">
        <v>0</v>
      </c>
      <c r="S38" s="34" t="s">
        <v>289</v>
      </c>
      <c r="T38" s="36" t="s">
        <v>40</v>
      </c>
      <c r="U38" s="46" t="s">
        <v>290</v>
      </c>
      <c r="V38" s="36" t="s">
        <v>40</v>
      </c>
      <c r="W38" s="34" t="s">
        <v>291</v>
      </c>
    </row>
    <row r="39" spans="1:23" ht="57.5" x14ac:dyDescent="0.3">
      <c r="A39" s="37">
        <v>36</v>
      </c>
      <c r="B39" s="38" t="s">
        <v>280</v>
      </c>
      <c r="C39" s="39" t="s">
        <v>281</v>
      </c>
      <c r="D39" s="38" t="s">
        <v>268</v>
      </c>
      <c r="E39" s="39" t="s">
        <v>41</v>
      </c>
      <c r="F39" s="38" t="s">
        <v>67</v>
      </c>
      <c r="G39" s="38" t="s">
        <v>68</v>
      </c>
      <c r="H39" s="38" t="s">
        <v>292</v>
      </c>
      <c r="I39" s="39" t="s">
        <v>42</v>
      </c>
      <c r="J39" s="45" t="s">
        <v>293</v>
      </c>
      <c r="K39" s="45" t="s">
        <v>294</v>
      </c>
      <c r="L39" s="45" t="s">
        <v>135</v>
      </c>
      <c r="M39" s="44" t="s">
        <v>295</v>
      </c>
      <c r="N39" s="45" t="s">
        <v>296</v>
      </c>
      <c r="O39" s="38">
        <v>0</v>
      </c>
      <c r="P39" s="39" t="s">
        <v>297</v>
      </c>
      <c r="Q39" s="45" t="s">
        <v>298</v>
      </c>
      <c r="R39" s="44">
        <v>0</v>
      </c>
      <c r="S39" s="45" t="s">
        <v>299</v>
      </c>
      <c r="T39" s="36" t="s">
        <v>40</v>
      </c>
      <c r="U39" s="46" t="s">
        <v>290</v>
      </c>
      <c r="V39" s="36" t="s">
        <v>40</v>
      </c>
      <c r="W39" s="45" t="s">
        <v>300</v>
      </c>
    </row>
    <row r="40" spans="1:23" ht="34.5" x14ac:dyDescent="0.3">
      <c r="A40" s="32">
        <v>37</v>
      </c>
      <c r="B40" s="33" t="s">
        <v>301</v>
      </c>
      <c r="C40" s="34" t="s">
        <v>302</v>
      </c>
      <c r="D40" s="33" t="s">
        <v>268</v>
      </c>
      <c r="E40" s="34" t="s">
        <v>41</v>
      </c>
      <c r="F40" s="33" t="s">
        <v>67</v>
      </c>
      <c r="G40" s="33" t="s">
        <v>68</v>
      </c>
      <c r="H40" s="33" t="s">
        <v>303</v>
      </c>
      <c r="I40" s="34" t="s">
        <v>30</v>
      </c>
      <c r="J40" s="34" t="s">
        <v>304</v>
      </c>
      <c r="K40" s="34" t="s">
        <v>305</v>
      </c>
      <c r="L40" s="33" t="s">
        <v>33</v>
      </c>
      <c r="M40" s="33" t="s">
        <v>306</v>
      </c>
      <c r="N40" s="34" t="s">
        <v>98</v>
      </c>
      <c r="O40" s="33">
        <v>0</v>
      </c>
      <c r="P40" s="34" t="s">
        <v>307</v>
      </c>
      <c r="Q40" s="34" t="s">
        <v>308</v>
      </c>
      <c r="R40" s="35">
        <v>2129</v>
      </c>
      <c r="S40" s="34" t="s">
        <v>101</v>
      </c>
      <c r="T40" s="36" t="s">
        <v>40</v>
      </c>
      <c r="U40" s="36" t="s">
        <v>40</v>
      </c>
      <c r="V40" s="36" t="s">
        <v>40</v>
      </c>
      <c r="W40" s="34"/>
    </row>
    <row r="41" spans="1:23" ht="34.5" x14ac:dyDescent="0.3">
      <c r="A41" s="37">
        <v>38</v>
      </c>
      <c r="B41" s="38" t="s">
        <v>301</v>
      </c>
      <c r="C41" s="39" t="s">
        <v>302</v>
      </c>
      <c r="D41" s="38" t="s">
        <v>268</v>
      </c>
      <c r="E41" s="39" t="s">
        <v>28</v>
      </c>
      <c r="F41" s="43">
        <v>940102</v>
      </c>
      <c r="G41" s="38" t="s">
        <v>61</v>
      </c>
      <c r="H41" s="38" t="s">
        <v>309</v>
      </c>
      <c r="I41" s="39" t="s">
        <v>42</v>
      </c>
      <c r="J41" s="39" t="s">
        <v>310</v>
      </c>
      <c r="K41" s="39" t="s">
        <v>311</v>
      </c>
      <c r="L41" s="38" t="s">
        <v>33</v>
      </c>
      <c r="M41" s="38" t="s">
        <v>312</v>
      </c>
      <c r="N41" s="39" t="s">
        <v>98</v>
      </c>
      <c r="O41" s="38">
        <v>0</v>
      </c>
      <c r="P41" s="39" t="s">
        <v>313</v>
      </c>
      <c r="Q41" s="39" t="s">
        <v>314</v>
      </c>
      <c r="R41" s="40">
        <v>849</v>
      </c>
      <c r="S41" s="39" t="s">
        <v>315</v>
      </c>
      <c r="T41" s="36" t="s">
        <v>40</v>
      </c>
      <c r="U41" s="36" t="s">
        <v>40</v>
      </c>
      <c r="V41" s="36" t="s">
        <v>40</v>
      </c>
      <c r="W41" s="39" t="s">
        <v>316</v>
      </c>
    </row>
    <row r="42" spans="1:23" ht="23" x14ac:dyDescent="0.3">
      <c r="A42" s="32">
        <v>39</v>
      </c>
      <c r="B42" s="33" t="s">
        <v>317</v>
      </c>
      <c r="C42" s="34" t="s">
        <v>318</v>
      </c>
      <c r="D42" s="33" t="s">
        <v>268</v>
      </c>
      <c r="E42" s="34" t="s">
        <v>41</v>
      </c>
      <c r="F42" s="33" t="s">
        <v>67</v>
      </c>
      <c r="G42" s="33" t="s">
        <v>68</v>
      </c>
      <c r="H42" s="33" t="s">
        <v>187</v>
      </c>
      <c r="I42" s="34" t="s">
        <v>30</v>
      </c>
      <c r="J42" s="34" t="s">
        <v>319</v>
      </c>
      <c r="K42" s="34" t="s">
        <v>231</v>
      </c>
      <c r="L42" s="33" t="s">
        <v>33</v>
      </c>
      <c r="M42" s="33" t="s">
        <v>232</v>
      </c>
      <c r="N42" s="34" t="s">
        <v>98</v>
      </c>
      <c r="O42" s="33">
        <v>24</v>
      </c>
      <c r="P42" s="34" t="s">
        <v>320</v>
      </c>
      <c r="Q42" s="34" t="s">
        <v>321</v>
      </c>
      <c r="R42" s="35">
        <v>1073</v>
      </c>
      <c r="S42" s="34" t="s">
        <v>101</v>
      </c>
      <c r="T42" s="36" t="s">
        <v>40</v>
      </c>
      <c r="U42" s="36" t="s">
        <v>40</v>
      </c>
      <c r="V42" s="36" t="s">
        <v>40</v>
      </c>
      <c r="W42" s="34" t="s">
        <v>322</v>
      </c>
    </row>
    <row r="43" spans="1:23" ht="34.5" x14ac:dyDescent="0.3">
      <c r="A43" s="37">
        <v>40</v>
      </c>
      <c r="B43" s="38" t="s">
        <v>317</v>
      </c>
      <c r="C43" s="39" t="s">
        <v>318</v>
      </c>
      <c r="D43" s="38" t="s">
        <v>268</v>
      </c>
      <c r="E43" s="39" t="s">
        <v>28</v>
      </c>
      <c r="F43" s="43">
        <v>940102</v>
      </c>
      <c r="G43" s="38" t="s">
        <v>61</v>
      </c>
      <c r="H43" s="38" t="s">
        <v>111</v>
      </c>
      <c r="I43" s="39" t="s">
        <v>42</v>
      </c>
      <c r="J43" s="39" t="s">
        <v>323</v>
      </c>
      <c r="K43" s="39" t="s">
        <v>324</v>
      </c>
      <c r="L43" s="38" t="s">
        <v>33</v>
      </c>
      <c r="M43" s="38" t="s">
        <v>325</v>
      </c>
      <c r="N43" s="39" t="s">
        <v>98</v>
      </c>
      <c r="O43" s="38">
        <v>0</v>
      </c>
      <c r="P43" s="39" t="s">
        <v>326</v>
      </c>
      <c r="Q43" s="39" t="s">
        <v>327</v>
      </c>
      <c r="R43" s="40">
        <v>1258</v>
      </c>
      <c r="S43" s="39" t="s">
        <v>101</v>
      </c>
      <c r="T43" s="36" t="s">
        <v>40</v>
      </c>
      <c r="U43" s="36" t="s">
        <v>40</v>
      </c>
      <c r="V43" s="36" t="s">
        <v>40</v>
      </c>
      <c r="W43" s="39" t="s">
        <v>328</v>
      </c>
    </row>
    <row r="44" spans="1:23" ht="34.5" x14ac:dyDescent="0.3">
      <c r="A44" s="32">
        <v>41</v>
      </c>
      <c r="B44" s="33" t="s">
        <v>329</v>
      </c>
      <c r="C44" s="34" t="s">
        <v>330</v>
      </c>
      <c r="D44" s="33" t="s">
        <v>268</v>
      </c>
      <c r="E44" s="34" t="s">
        <v>41</v>
      </c>
      <c r="F44" s="33" t="s">
        <v>67</v>
      </c>
      <c r="G44" s="33" t="s">
        <v>68</v>
      </c>
      <c r="H44" s="33" t="s">
        <v>187</v>
      </c>
      <c r="I44" s="34" t="s">
        <v>30</v>
      </c>
      <c r="J44" s="34" t="s">
        <v>331</v>
      </c>
      <c r="K44" s="34" t="s">
        <v>332</v>
      </c>
      <c r="L44" s="33" t="s">
        <v>33</v>
      </c>
      <c r="M44" s="33" t="s">
        <v>333</v>
      </c>
      <c r="N44" s="34" t="s">
        <v>334</v>
      </c>
      <c r="O44" s="33">
        <v>0</v>
      </c>
      <c r="P44" s="34" t="s">
        <v>335</v>
      </c>
      <c r="Q44" s="34" t="s">
        <v>336</v>
      </c>
      <c r="R44" s="35">
        <v>247</v>
      </c>
      <c r="S44" s="34" t="s">
        <v>337</v>
      </c>
      <c r="T44" s="36" t="s">
        <v>40</v>
      </c>
      <c r="U44" s="36" t="s">
        <v>40</v>
      </c>
      <c r="V44" s="36" t="s">
        <v>40</v>
      </c>
      <c r="W44" s="34" t="s">
        <v>338</v>
      </c>
    </row>
    <row r="45" spans="1:23" ht="23" x14ac:dyDescent="0.3">
      <c r="A45" s="37">
        <v>42</v>
      </c>
      <c r="B45" s="38" t="s">
        <v>329</v>
      </c>
      <c r="C45" s="39" t="s">
        <v>330</v>
      </c>
      <c r="D45" s="38" t="s">
        <v>268</v>
      </c>
      <c r="E45" s="39" t="s">
        <v>28</v>
      </c>
      <c r="F45" s="43">
        <v>940102</v>
      </c>
      <c r="G45" s="38" t="s">
        <v>61</v>
      </c>
      <c r="H45" s="38" t="s">
        <v>214</v>
      </c>
      <c r="I45" s="39" t="s">
        <v>42</v>
      </c>
      <c r="J45" s="39" t="s">
        <v>339</v>
      </c>
      <c r="K45" s="39" t="s">
        <v>340</v>
      </c>
      <c r="L45" s="38" t="s">
        <v>33</v>
      </c>
      <c r="M45" s="38" t="s">
        <v>341</v>
      </c>
      <c r="N45" s="39" t="s">
        <v>334</v>
      </c>
      <c r="O45" s="38">
        <v>0</v>
      </c>
      <c r="P45" s="39" t="s">
        <v>342</v>
      </c>
      <c r="Q45" s="39" t="s">
        <v>343</v>
      </c>
      <c r="R45" s="40">
        <v>738</v>
      </c>
      <c r="S45" s="39" t="s">
        <v>344</v>
      </c>
      <c r="T45" s="36" t="s">
        <v>40</v>
      </c>
      <c r="U45" s="36" t="s">
        <v>40</v>
      </c>
      <c r="V45" s="36" t="s">
        <v>40</v>
      </c>
      <c r="W45" s="39" t="s">
        <v>171</v>
      </c>
    </row>
    <row r="46" spans="1:23" ht="34.5" x14ac:dyDescent="0.3">
      <c r="A46" s="32">
        <v>43</v>
      </c>
      <c r="B46" s="33" t="s">
        <v>345</v>
      </c>
      <c r="C46" s="34" t="s">
        <v>346</v>
      </c>
      <c r="D46" s="33" t="s">
        <v>268</v>
      </c>
      <c r="E46" s="34" t="s">
        <v>41</v>
      </c>
      <c r="F46" s="33" t="s">
        <v>67</v>
      </c>
      <c r="G46" s="33" t="s">
        <v>68</v>
      </c>
      <c r="H46" s="33" t="s">
        <v>94</v>
      </c>
      <c r="I46" s="34" t="s">
        <v>30</v>
      </c>
      <c r="J46" s="34" t="s">
        <v>347</v>
      </c>
      <c r="K46" s="34" t="s">
        <v>348</v>
      </c>
      <c r="L46" s="33" t="s">
        <v>33</v>
      </c>
      <c r="M46" s="33" t="s">
        <v>349</v>
      </c>
      <c r="N46" s="34" t="s">
        <v>350</v>
      </c>
      <c r="O46" s="33">
        <v>0</v>
      </c>
      <c r="P46" s="34" t="s">
        <v>351</v>
      </c>
      <c r="Q46" s="34" t="s">
        <v>352</v>
      </c>
      <c r="R46" s="35">
        <v>678</v>
      </c>
      <c r="S46" s="34" t="s">
        <v>353</v>
      </c>
      <c r="T46" s="47" t="s">
        <v>40</v>
      </c>
      <c r="U46" s="48" t="s">
        <v>290</v>
      </c>
      <c r="V46" s="46" t="s">
        <v>290</v>
      </c>
      <c r="W46" s="34" t="s">
        <v>354</v>
      </c>
    </row>
    <row r="47" spans="1:23" ht="57.5" x14ac:dyDescent="0.3">
      <c r="A47" s="37">
        <v>44</v>
      </c>
      <c r="B47" s="38" t="s">
        <v>345</v>
      </c>
      <c r="C47" s="39" t="s">
        <v>346</v>
      </c>
      <c r="D47" s="38" t="s">
        <v>268</v>
      </c>
      <c r="E47" s="39" t="s">
        <v>28</v>
      </c>
      <c r="F47" s="43">
        <v>940102</v>
      </c>
      <c r="G47" s="38" t="s">
        <v>61</v>
      </c>
      <c r="H47" s="38" t="s">
        <v>303</v>
      </c>
      <c r="I47" s="39" t="s">
        <v>42</v>
      </c>
      <c r="J47" s="45" t="s">
        <v>355</v>
      </c>
      <c r="K47" s="45" t="s">
        <v>356</v>
      </c>
      <c r="L47" s="45" t="s">
        <v>135</v>
      </c>
      <c r="M47" s="44" t="s">
        <v>357</v>
      </c>
      <c r="N47" s="39" t="s">
        <v>350</v>
      </c>
      <c r="O47" s="38">
        <v>0</v>
      </c>
      <c r="P47" s="45" t="s">
        <v>358</v>
      </c>
      <c r="Q47" s="45" t="s">
        <v>359</v>
      </c>
      <c r="R47" s="44">
        <v>1564</v>
      </c>
      <c r="S47" s="45" t="s">
        <v>360</v>
      </c>
      <c r="T47" s="47" t="s">
        <v>40</v>
      </c>
      <c r="U47" s="48" t="s">
        <v>290</v>
      </c>
      <c r="V47" s="46" t="s">
        <v>290</v>
      </c>
      <c r="W47" s="45" t="s">
        <v>361</v>
      </c>
    </row>
    <row r="48" spans="1:23" ht="34.5" x14ac:dyDescent="0.3">
      <c r="A48" s="32">
        <v>45</v>
      </c>
      <c r="B48" s="33" t="s">
        <v>362</v>
      </c>
      <c r="C48" s="34" t="s">
        <v>363</v>
      </c>
      <c r="D48" s="33" t="s">
        <v>268</v>
      </c>
      <c r="E48" s="34" t="s">
        <v>28</v>
      </c>
      <c r="F48" s="41">
        <v>940102</v>
      </c>
      <c r="G48" s="33" t="s">
        <v>61</v>
      </c>
      <c r="H48" s="33" t="s">
        <v>303</v>
      </c>
      <c r="I48" s="34" t="s">
        <v>30</v>
      </c>
      <c r="J48" s="34" t="s">
        <v>364</v>
      </c>
      <c r="K48" s="34" t="s">
        <v>365</v>
      </c>
      <c r="L48" s="33" t="s">
        <v>33</v>
      </c>
      <c r="M48" s="33" t="s">
        <v>366</v>
      </c>
      <c r="N48" s="34" t="s">
        <v>98</v>
      </c>
      <c r="O48" s="33">
        <v>0</v>
      </c>
      <c r="P48" s="34" t="s">
        <v>367</v>
      </c>
      <c r="Q48" s="34" t="s">
        <v>368</v>
      </c>
      <c r="R48" s="35">
        <v>289</v>
      </c>
      <c r="S48" s="34" t="s">
        <v>101</v>
      </c>
      <c r="T48" s="36" t="s">
        <v>40</v>
      </c>
      <c r="U48" s="36" t="s">
        <v>40</v>
      </c>
      <c r="V48" s="36" t="s">
        <v>40</v>
      </c>
      <c r="W48" s="34"/>
    </row>
    <row r="49" spans="1:23" ht="34.5" x14ac:dyDescent="0.3">
      <c r="A49" s="37">
        <v>46</v>
      </c>
      <c r="B49" s="38" t="s">
        <v>362</v>
      </c>
      <c r="C49" s="39" t="s">
        <v>363</v>
      </c>
      <c r="D49" s="38" t="s">
        <v>268</v>
      </c>
      <c r="E49" s="39" t="s">
        <v>41</v>
      </c>
      <c r="F49" s="38" t="s">
        <v>67</v>
      </c>
      <c r="G49" s="38" t="s">
        <v>68</v>
      </c>
      <c r="H49" s="38" t="s">
        <v>111</v>
      </c>
      <c r="I49" s="39" t="s">
        <v>42</v>
      </c>
      <c r="J49" s="39" t="s">
        <v>369</v>
      </c>
      <c r="K49" s="39" t="s">
        <v>370</v>
      </c>
      <c r="L49" s="38" t="s">
        <v>33</v>
      </c>
      <c r="M49" s="38" t="s">
        <v>371</v>
      </c>
      <c r="N49" s="39" t="s">
        <v>98</v>
      </c>
      <c r="O49" s="38">
        <v>0</v>
      </c>
      <c r="P49" s="39" t="s">
        <v>372</v>
      </c>
      <c r="Q49" s="39" t="s">
        <v>373</v>
      </c>
      <c r="R49" s="40">
        <v>226</v>
      </c>
      <c r="S49" s="39" t="s">
        <v>101</v>
      </c>
      <c r="T49" s="36" t="s">
        <v>40</v>
      </c>
      <c r="U49" s="36" t="s">
        <v>40</v>
      </c>
      <c r="V49" s="36" t="s">
        <v>40</v>
      </c>
      <c r="W49" s="39" t="s">
        <v>374</v>
      </c>
    </row>
    <row r="50" spans="1:23" ht="23" x14ac:dyDescent="0.3">
      <c r="A50" s="32">
        <v>47</v>
      </c>
      <c r="B50" s="33" t="s">
        <v>375</v>
      </c>
      <c r="C50" s="34" t="s">
        <v>376</v>
      </c>
      <c r="D50" s="33" t="s">
        <v>268</v>
      </c>
      <c r="E50" s="34" t="s">
        <v>41</v>
      </c>
      <c r="F50" s="33" t="s">
        <v>67</v>
      </c>
      <c r="G50" s="33" t="s">
        <v>68</v>
      </c>
      <c r="H50" s="33" t="s">
        <v>29</v>
      </c>
      <c r="I50" s="34" t="s">
        <v>30</v>
      </c>
      <c r="J50" s="34" t="s">
        <v>377</v>
      </c>
      <c r="K50" s="34" t="s">
        <v>378</v>
      </c>
      <c r="L50" s="33" t="s">
        <v>33</v>
      </c>
      <c r="M50" s="33" t="s">
        <v>379</v>
      </c>
      <c r="N50" s="34" t="s">
        <v>380</v>
      </c>
      <c r="O50" s="33">
        <v>0</v>
      </c>
      <c r="P50" s="34" t="s">
        <v>381</v>
      </c>
      <c r="Q50" s="34" t="s">
        <v>382</v>
      </c>
      <c r="R50" s="35">
        <v>204</v>
      </c>
      <c r="S50" s="34" t="s">
        <v>101</v>
      </c>
      <c r="T50" s="36" t="s">
        <v>40</v>
      </c>
      <c r="U50" s="36" t="s">
        <v>40</v>
      </c>
      <c r="V50" s="36" t="s">
        <v>40</v>
      </c>
      <c r="W50" s="34"/>
    </row>
    <row r="51" spans="1:23" ht="23" x14ac:dyDescent="0.3">
      <c r="A51" s="37">
        <v>48</v>
      </c>
      <c r="B51" s="38" t="s">
        <v>375</v>
      </c>
      <c r="C51" s="39" t="s">
        <v>376</v>
      </c>
      <c r="D51" s="38" t="s">
        <v>268</v>
      </c>
      <c r="E51" s="39" t="s">
        <v>28</v>
      </c>
      <c r="F51" s="43">
        <v>940102</v>
      </c>
      <c r="G51" s="38" t="s">
        <v>61</v>
      </c>
      <c r="H51" s="38" t="s">
        <v>29</v>
      </c>
      <c r="I51" s="39" t="s">
        <v>42</v>
      </c>
      <c r="J51" s="39" t="s">
        <v>383</v>
      </c>
      <c r="K51" s="39" t="s">
        <v>384</v>
      </c>
      <c r="L51" s="38" t="s">
        <v>33</v>
      </c>
      <c r="M51" s="38" t="s">
        <v>385</v>
      </c>
      <c r="N51" s="39" t="s">
        <v>380</v>
      </c>
      <c r="O51" s="38">
        <v>0</v>
      </c>
      <c r="P51" s="39" t="s">
        <v>386</v>
      </c>
      <c r="Q51" s="39" t="s">
        <v>387</v>
      </c>
      <c r="R51" s="40">
        <v>115</v>
      </c>
      <c r="S51" s="39" t="s">
        <v>101</v>
      </c>
      <c r="T51" s="36" t="s">
        <v>40</v>
      </c>
      <c r="U51" s="36" t="s">
        <v>40</v>
      </c>
      <c r="V51" s="36" t="s">
        <v>40</v>
      </c>
      <c r="W51" s="39" t="s">
        <v>171</v>
      </c>
    </row>
    <row r="52" spans="1:23" ht="23" x14ac:dyDescent="0.3">
      <c r="A52" s="32">
        <v>49</v>
      </c>
      <c r="B52" s="33" t="s">
        <v>388</v>
      </c>
      <c r="C52" s="34" t="s">
        <v>389</v>
      </c>
      <c r="D52" s="33" t="s">
        <v>268</v>
      </c>
      <c r="E52" s="34" t="s">
        <v>41</v>
      </c>
      <c r="F52" s="33" t="s">
        <v>67</v>
      </c>
      <c r="G52" s="33" t="s">
        <v>68</v>
      </c>
      <c r="H52" s="33" t="s">
        <v>187</v>
      </c>
      <c r="I52" s="34" t="s">
        <v>30</v>
      </c>
      <c r="J52" s="34" t="s">
        <v>390</v>
      </c>
      <c r="K52" s="34" t="s">
        <v>391</v>
      </c>
      <c r="L52" s="33" t="s">
        <v>33</v>
      </c>
      <c r="M52" s="33" t="s">
        <v>392</v>
      </c>
      <c r="N52" s="34" t="s">
        <v>98</v>
      </c>
      <c r="O52" s="33">
        <v>0</v>
      </c>
      <c r="P52" s="34" t="s">
        <v>393</v>
      </c>
      <c r="Q52" s="34" t="s">
        <v>394</v>
      </c>
      <c r="R52" s="35">
        <v>800</v>
      </c>
      <c r="S52" s="34" t="s">
        <v>101</v>
      </c>
      <c r="T52" s="36" t="s">
        <v>40</v>
      </c>
      <c r="U52" s="36" t="s">
        <v>40</v>
      </c>
      <c r="V52" s="36" t="s">
        <v>40</v>
      </c>
      <c r="W52" s="34" t="s">
        <v>395</v>
      </c>
    </row>
    <row r="53" spans="1:23" ht="23" x14ac:dyDescent="0.3">
      <c r="A53" s="37">
        <v>50</v>
      </c>
      <c r="B53" s="38" t="s">
        <v>388</v>
      </c>
      <c r="C53" s="39" t="s">
        <v>389</v>
      </c>
      <c r="D53" s="38" t="s">
        <v>268</v>
      </c>
      <c r="E53" s="39" t="s">
        <v>28</v>
      </c>
      <c r="F53" s="43">
        <v>940102</v>
      </c>
      <c r="G53" s="38" t="s">
        <v>61</v>
      </c>
      <c r="H53" s="38" t="s">
        <v>187</v>
      </c>
      <c r="I53" s="39" t="s">
        <v>42</v>
      </c>
      <c r="J53" s="39" t="s">
        <v>396</v>
      </c>
      <c r="K53" s="39" t="s">
        <v>397</v>
      </c>
      <c r="L53" s="38" t="s">
        <v>33</v>
      </c>
      <c r="M53" s="38" t="s">
        <v>398</v>
      </c>
      <c r="N53" s="39" t="s">
        <v>98</v>
      </c>
      <c r="O53" s="38">
        <v>0</v>
      </c>
      <c r="P53" s="39" t="s">
        <v>399</v>
      </c>
      <c r="Q53" s="39" t="s">
        <v>400</v>
      </c>
      <c r="R53" s="40">
        <v>625</v>
      </c>
      <c r="S53" s="39" t="s">
        <v>101</v>
      </c>
      <c r="T53" s="36" t="s">
        <v>40</v>
      </c>
      <c r="U53" s="36" t="s">
        <v>40</v>
      </c>
      <c r="V53" s="36" t="s">
        <v>40</v>
      </c>
      <c r="W53" s="39" t="s">
        <v>171</v>
      </c>
    </row>
  </sheetData>
  <autoFilter ref="A3:W53" xr:uid="{00000000-0009-0000-0000-000000000000}"/>
  <mergeCells count="2">
    <mergeCell ref="A1:W1"/>
    <mergeCell ref="A2:W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4"/>
  <sheetViews>
    <sheetView zoomScaleNormal="100" workbookViewId="0">
      <pane ySplit="2" topLeftCell="A83" activePane="bottomLeft" state="frozen"/>
      <selection pane="bottomLeft" activeCell="I18" sqref="I18"/>
    </sheetView>
  </sheetViews>
  <sheetFormatPr defaultColWidth="8.6328125" defaultRowHeight="14.5" x14ac:dyDescent="0.35"/>
  <cols>
    <col min="1" max="1" width="14" style="1" customWidth="1"/>
    <col min="2" max="2" width="12" style="1" customWidth="1"/>
    <col min="3" max="3" width="28" style="1" customWidth="1"/>
    <col min="4" max="4" width="16" style="1" customWidth="1"/>
    <col min="5" max="5" width="15.54296875" style="1" customWidth="1"/>
    <col min="6" max="6" width="14" style="28" customWidth="1"/>
    <col min="7" max="7" width="10" style="1" customWidth="1"/>
    <col min="8" max="8" width="22" style="1" customWidth="1"/>
  </cols>
  <sheetData>
    <row r="1" spans="1:8" ht="27.75" customHeight="1" x14ac:dyDescent="0.35">
      <c r="A1" s="8" t="s">
        <v>401</v>
      </c>
      <c r="B1" s="8"/>
      <c r="C1" s="8"/>
      <c r="D1" s="8"/>
      <c r="E1" s="8"/>
      <c r="F1" s="8"/>
      <c r="G1" s="8"/>
      <c r="H1" s="8"/>
    </row>
    <row r="2" spans="1:8" ht="24" customHeight="1" x14ac:dyDescent="0.35">
      <c r="A2" s="2" t="s">
        <v>402</v>
      </c>
      <c r="B2" s="2" t="s">
        <v>403</v>
      </c>
      <c r="C2" s="2" t="s">
        <v>404</v>
      </c>
      <c r="D2" s="2" t="s">
        <v>405</v>
      </c>
      <c r="E2" s="2" t="s">
        <v>406</v>
      </c>
      <c r="F2" s="27" t="s">
        <v>407</v>
      </c>
      <c r="G2" s="2" t="s">
        <v>408</v>
      </c>
      <c r="H2" s="13" t="s">
        <v>409</v>
      </c>
    </row>
    <row r="3" spans="1:8" ht="18" customHeight="1" x14ac:dyDescent="0.35">
      <c r="A3" s="9" t="s">
        <v>410</v>
      </c>
      <c r="B3" s="9"/>
      <c r="C3" s="9"/>
      <c r="D3" s="9"/>
      <c r="E3" s="9"/>
      <c r="F3" s="9"/>
      <c r="G3" s="9"/>
      <c r="H3" s="9"/>
    </row>
    <row r="4" spans="1:8" ht="15.75" customHeight="1" x14ac:dyDescent="0.35">
      <c r="A4" s="3" t="s">
        <v>411</v>
      </c>
      <c r="B4" s="3" t="s">
        <v>412</v>
      </c>
      <c r="C4" s="3" t="s">
        <v>413</v>
      </c>
      <c r="D4" s="11">
        <v>131123873518</v>
      </c>
      <c r="E4" s="4" t="s">
        <v>414</v>
      </c>
      <c r="F4" s="25">
        <v>393011</v>
      </c>
      <c r="G4" s="4" t="s">
        <v>94</v>
      </c>
      <c r="H4" s="4" t="s">
        <v>29</v>
      </c>
    </row>
    <row r="5" spans="1:8" ht="15.75" customHeight="1" x14ac:dyDescent="0.35">
      <c r="A5" s="5" t="s">
        <v>411</v>
      </c>
      <c r="B5" s="5" t="s">
        <v>412</v>
      </c>
      <c r="C5" s="5" t="s">
        <v>415</v>
      </c>
      <c r="D5" s="12">
        <v>2246952558</v>
      </c>
      <c r="E5" s="6" t="s">
        <v>414</v>
      </c>
      <c r="F5" s="26">
        <v>379102</v>
      </c>
      <c r="G5" s="6" t="s">
        <v>94</v>
      </c>
      <c r="H5" s="6" t="s">
        <v>29</v>
      </c>
    </row>
    <row r="6" spans="1:8" ht="15.75" customHeight="1" x14ac:dyDescent="0.35">
      <c r="A6" s="3" t="s">
        <v>411</v>
      </c>
      <c r="B6" s="3" t="s">
        <v>412</v>
      </c>
      <c r="C6" s="3" t="s">
        <v>416</v>
      </c>
      <c r="D6" s="11">
        <v>2245430491</v>
      </c>
      <c r="E6" s="4" t="s">
        <v>414</v>
      </c>
      <c r="F6" s="25">
        <v>213770</v>
      </c>
      <c r="G6" s="4" t="s">
        <v>94</v>
      </c>
      <c r="H6" s="4" t="s">
        <v>29</v>
      </c>
    </row>
    <row r="7" spans="1:8" ht="15.75" customHeight="1" x14ac:dyDescent="0.35">
      <c r="A7" s="5" t="s">
        <v>411</v>
      </c>
      <c r="B7" s="5" t="s">
        <v>412</v>
      </c>
      <c r="C7" s="5" t="s">
        <v>417</v>
      </c>
      <c r="D7" s="12">
        <v>2224106678</v>
      </c>
      <c r="E7" s="6" t="s">
        <v>414</v>
      </c>
      <c r="F7" s="26">
        <v>121687</v>
      </c>
      <c r="G7" s="6" t="s">
        <v>94</v>
      </c>
      <c r="H7" s="6" t="s">
        <v>29</v>
      </c>
    </row>
    <row r="8" spans="1:8" ht="15.75" customHeight="1" x14ac:dyDescent="0.35">
      <c r="A8" s="3" t="s">
        <v>411</v>
      </c>
      <c r="B8" s="3" t="s">
        <v>412</v>
      </c>
      <c r="C8" s="3" t="s">
        <v>418</v>
      </c>
      <c r="D8" s="11">
        <v>2253486941</v>
      </c>
      <c r="E8" s="4" t="s">
        <v>414</v>
      </c>
      <c r="F8" s="25">
        <v>101098</v>
      </c>
      <c r="G8" s="4" t="s">
        <v>94</v>
      </c>
      <c r="H8" s="4" t="s">
        <v>29</v>
      </c>
    </row>
    <row r="9" spans="1:8" ht="15.75" customHeight="1" x14ac:dyDescent="0.35">
      <c r="A9" s="5" t="s">
        <v>411</v>
      </c>
      <c r="B9" s="5" t="s">
        <v>412</v>
      </c>
      <c r="C9" s="5" t="s">
        <v>419</v>
      </c>
      <c r="D9" s="12">
        <v>2253237356</v>
      </c>
      <c r="E9" s="6" t="s">
        <v>414</v>
      </c>
      <c r="F9" s="26">
        <v>89265</v>
      </c>
      <c r="G9" s="6" t="s">
        <v>94</v>
      </c>
      <c r="H9" s="6" t="s">
        <v>29</v>
      </c>
    </row>
    <row r="10" spans="1:8" ht="15.75" customHeight="1" x14ac:dyDescent="0.35">
      <c r="A10" s="3" t="s">
        <v>411</v>
      </c>
      <c r="B10" s="3" t="s">
        <v>412</v>
      </c>
      <c r="C10" s="3" t="s">
        <v>420</v>
      </c>
      <c r="D10" s="11">
        <v>2235459566</v>
      </c>
      <c r="E10" s="4" t="s">
        <v>414</v>
      </c>
      <c r="F10" s="25">
        <v>58818</v>
      </c>
      <c r="G10" s="4" t="s">
        <v>94</v>
      </c>
      <c r="H10" s="4" t="s">
        <v>29</v>
      </c>
    </row>
    <row r="11" spans="1:8" ht="15.75" customHeight="1" x14ac:dyDescent="0.35">
      <c r="A11" s="5" t="s">
        <v>411</v>
      </c>
      <c r="B11" s="5" t="s">
        <v>412</v>
      </c>
      <c r="C11" s="5" t="s">
        <v>421</v>
      </c>
      <c r="D11" s="12">
        <v>2263788119</v>
      </c>
      <c r="E11" s="6" t="s">
        <v>414</v>
      </c>
      <c r="F11" s="26">
        <v>53202</v>
      </c>
      <c r="G11" s="6" t="s">
        <v>94</v>
      </c>
      <c r="H11" s="6" t="s">
        <v>29</v>
      </c>
    </row>
    <row r="12" spans="1:8" ht="15.75" customHeight="1" x14ac:dyDescent="0.35">
      <c r="A12" s="3" t="s">
        <v>411</v>
      </c>
      <c r="B12" s="3" t="s">
        <v>412</v>
      </c>
      <c r="C12" s="3" t="s">
        <v>422</v>
      </c>
      <c r="D12" s="11">
        <v>2232739928</v>
      </c>
      <c r="E12" s="4" t="s">
        <v>414</v>
      </c>
      <c r="F12" s="25">
        <v>45135</v>
      </c>
      <c r="G12" s="4" t="s">
        <v>94</v>
      </c>
      <c r="H12" s="4" t="s">
        <v>29</v>
      </c>
    </row>
    <row r="13" spans="1:8" ht="15.75" customHeight="1" x14ac:dyDescent="0.35">
      <c r="A13" s="5" t="s">
        <v>411</v>
      </c>
      <c r="B13" s="5" t="s">
        <v>412</v>
      </c>
      <c r="C13" s="5" t="s">
        <v>423</v>
      </c>
      <c r="D13" s="12">
        <v>131430111840</v>
      </c>
      <c r="E13" s="6" t="s">
        <v>414</v>
      </c>
      <c r="F13" s="26">
        <v>42850</v>
      </c>
      <c r="G13" s="6" t="s">
        <v>94</v>
      </c>
      <c r="H13" s="6" t="s">
        <v>29</v>
      </c>
    </row>
    <row r="14" spans="1:8" ht="15.75" customHeight="1" x14ac:dyDescent="0.35">
      <c r="A14" s="3" t="s">
        <v>411</v>
      </c>
      <c r="B14" s="3" t="s">
        <v>412</v>
      </c>
      <c r="C14" s="3" t="s">
        <v>424</v>
      </c>
      <c r="D14" s="11">
        <v>2252239407</v>
      </c>
      <c r="E14" s="4" t="s">
        <v>414</v>
      </c>
      <c r="F14" s="25">
        <v>37151</v>
      </c>
      <c r="G14" s="4" t="s">
        <v>94</v>
      </c>
      <c r="H14" s="4" t="s">
        <v>29</v>
      </c>
    </row>
    <row r="15" spans="1:8" ht="15.75" customHeight="1" x14ac:dyDescent="0.35">
      <c r="A15" s="5" t="s">
        <v>411</v>
      </c>
      <c r="B15" s="5" t="s">
        <v>412</v>
      </c>
      <c r="C15" s="5" t="s">
        <v>425</v>
      </c>
      <c r="D15" s="12">
        <v>2253115261</v>
      </c>
      <c r="E15" s="6" t="s">
        <v>414</v>
      </c>
      <c r="F15" s="26">
        <v>31771</v>
      </c>
      <c r="G15" s="6" t="s">
        <v>94</v>
      </c>
      <c r="H15" s="6" t="s">
        <v>29</v>
      </c>
    </row>
    <row r="16" spans="1:8" ht="15.75" customHeight="1" x14ac:dyDescent="0.35">
      <c r="A16" s="3" t="s">
        <v>411</v>
      </c>
      <c r="B16" s="3" t="s">
        <v>412</v>
      </c>
      <c r="C16" s="3" t="s">
        <v>426</v>
      </c>
      <c r="D16" s="11">
        <v>2232191116</v>
      </c>
      <c r="E16" s="4" t="s">
        <v>414</v>
      </c>
      <c r="F16" s="25">
        <v>19842</v>
      </c>
      <c r="G16" s="4" t="s">
        <v>94</v>
      </c>
      <c r="H16" s="4" t="s">
        <v>29</v>
      </c>
    </row>
    <row r="18" spans="1:8" ht="18" customHeight="1" x14ac:dyDescent="0.35">
      <c r="A18" s="10" t="s">
        <v>427</v>
      </c>
      <c r="B18" s="10"/>
      <c r="C18" s="10"/>
      <c r="D18" s="10"/>
      <c r="E18" s="10"/>
      <c r="F18" s="10"/>
      <c r="G18" s="10"/>
      <c r="H18" s="10"/>
    </row>
    <row r="19" spans="1:8" ht="15.75" customHeight="1" x14ac:dyDescent="0.35">
      <c r="A19" s="3" t="s">
        <v>197</v>
      </c>
      <c r="B19" s="3" t="s">
        <v>412</v>
      </c>
      <c r="C19" s="3" t="s">
        <v>428</v>
      </c>
      <c r="D19" s="11">
        <v>2235156239</v>
      </c>
      <c r="E19" s="4" t="s">
        <v>429</v>
      </c>
      <c r="F19" s="25">
        <v>305731</v>
      </c>
      <c r="G19" s="4" t="s">
        <v>94</v>
      </c>
      <c r="H19" s="4" t="s">
        <v>29</v>
      </c>
    </row>
    <row r="20" spans="1:8" ht="15.75" customHeight="1" x14ac:dyDescent="0.35">
      <c r="A20" s="5" t="s">
        <v>197</v>
      </c>
      <c r="B20" s="5" t="s">
        <v>412</v>
      </c>
      <c r="C20" s="5" t="s">
        <v>430</v>
      </c>
      <c r="D20" s="12">
        <v>2224839660</v>
      </c>
      <c r="E20" s="6" t="s">
        <v>429</v>
      </c>
      <c r="F20" s="26">
        <v>228614</v>
      </c>
      <c r="G20" s="6" t="s">
        <v>94</v>
      </c>
      <c r="H20" s="6" t="s">
        <v>29</v>
      </c>
    </row>
    <row r="21" spans="1:8" ht="15.75" customHeight="1" x14ac:dyDescent="0.35">
      <c r="A21" s="3" t="s">
        <v>197</v>
      </c>
      <c r="B21" s="3" t="s">
        <v>412</v>
      </c>
      <c r="C21" s="3" t="s">
        <v>431</v>
      </c>
      <c r="D21" s="11">
        <v>2224502958</v>
      </c>
      <c r="E21" s="4" t="s">
        <v>429</v>
      </c>
      <c r="F21" s="25">
        <v>162381</v>
      </c>
      <c r="G21" s="4" t="s">
        <v>94</v>
      </c>
      <c r="H21" s="4" t="s">
        <v>29</v>
      </c>
    </row>
    <row r="22" spans="1:8" ht="15.75" customHeight="1" x14ac:dyDescent="0.35">
      <c r="A22" s="5" t="s">
        <v>197</v>
      </c>
      <c r="B22" s="5" t="s">
        <v>412</v>
      </c>
      <c r="C22" s="5" t="s">
        <v>432</v>
      </c>
      <c r="D22" s="12">
        <v>2224808701</v>
      </c>
      <c r="E22" s="6" t="s">
        <v>429</v>
      </c>
      <c r="F22" s="26">
        <v>144887</v>
      </c>
      <c r="G22" s="6" t="s">
        <v>94</v>
      </c>
      <c r="H22" s="6" t="s">
        <v>29</v>
      </c>
    </row>
    <row r="23" spans="1:8" ht="15.75" customHeight="1" x14ac:dyDescent="0.35">
      <c r="A23" s="3" t="s">
        <v>197</v>
      </c>
      <c r="B23" s="3" t="s">
        <v>412</v>
      </c>
      <c r="C23" s="3" t="s">
        <v>433</v>
      </c>
      <c r="D23" s="11">
        <v>2224787698</v>
      </c>
      <c r="E23" s="4" t="s">
        <v>429</v>
      </c>
      <c r="F23" s="25">
        <v>136639</v>
      </c>
      <c r="G23" s="4" t="s">
        <v>94</v>
      </c>
      <c r="H23" s="4" t="s">
        <v>29</v>
      </c>
    </row>
    <row r="25" spans="1:8" ht="18" customHeight="1" x14ac:dyDescent="0.35">
      <c r="A25" s="24" t="s">
        <v>434</v>
      </c>
      <c r="B25" s="24"/>
      <c r="C25" s="24"/>
      <c r="D25" s="24"/>
      <c r="E25" s="24"/>
      <c r="F25" s="24"/>
      <c r="G25" s="24"/>
      <c r="H25" s="24"/>
    </row>
    <row r="26" spans="1:8" ht="15.75" customHeight="1" x14ac:dyDescent="0.35">
      <c r="A26" s="3" t="s">
        <v>435</v>
      </c>
      <c r="B26" s="3" t="s">
        <v>436</v>
      </c>
      <c r="C26" s="3" t="s">
        <v>437</v>
      </c>
      <c r="D26" s="11">
        <v>131474051337</v>
      </c>
      <c r="E26" s="4" t="s">
        <v>414</v>
      </c>
      <c r="F26" s="25">
        <v>1352312</v>
      </c>
      <c r="G26" s="4" t="s">
        <v>94</v>
      </c>
      <c r="H26" s="14" t="s">
        <v>438</v>
      </c>
    </row>
    <row r="27" spans="1:8" ht="15.75" customHeight="1" x14ac:dyDescent="0.35">
      <c r="A27" s="5" t="s">
        <v>435</v>
      </c>
      <c r="B27" s="5" t="s">
        <v>436</v>
      </c>
      <c r="C27" s="5" t="s">
        <v>439</v>
      </c>
      <c r="D27" s="12">
        <v>2235469681</v>
      </c>
      <c r="E27" s="6" t="s">
        <v>414</v>
      </c>
      <c r="F27" s="26">
        <v>194101</v>
      </c>
      <c r="G27" s="6" t="s">
        <v>94</v>
      </c>
      <c r="H27" s="15" t="s">
        <v>440</v>
      </c>
    </row>
    <row r="28" spans="1:8" ht="15.75" customHeight="1" x14ac:dyDescent="0.35">
      <c r="A28" s="3" t="s">
        <v>435</v>
      </c>
      <c r="B28" s="3" t="s">
        <v>436</v>
      </c>
      <c r="C28" s="3" t="s">
        <v>441</v>
      </c>
      <c r="D28" s="11">
        <v>2263930395</v>
      </c>
      <c r="E28" s="4" t="s">
        <v>414</v>
      </c>
      <c r="F28" s="25">
        <v>157058</v>
      </c>
      <c r="G28" s="4" t="s">
        <v>94</v>
      </c>
      <c r="H28" s="14" t="s">
        <v>438</v>
      </c>
    </row>
    <row r="29" spans="1:8" ht="15.75" customHeight="1" x14ac:dyDescent="0.35">
      <c r="A29" s="5" t="s">
        <v>435</v>
      </c>
      <c r="B29" s="5" t="s">
        <v>436</v>
      </c>
      <c r="C29" s="5" t="s">
        <v>442</v>
      </c>
      <c r="D29" s="12">
        <v>2252858033</v>
      </c>
      <c r="E29" s="6" t="s">
        <v>414</v>
      </c>
      <c r="F29" s="26">
        <v>143960</v>
      </c>
      <c r="G29" s="6" t="s">
        <v>94</v>
      </c>
      <c r="H29" s="15" t="s">
        <v>438</v>
      </c>
    </row>
    <row r="30" spans="1:8" ht="15.75" customHeight="1" x14ac:dyDescent="0.35">
      <c r="A30" s="3" t="s">
        <v>435</v>
      </c>
      <c r="B30" s="3" t="s">
        <v>436</v>
      </c>
      <c r="C30" s="3" t="s">
        <v>443</v>
      </c>
      <c r="D30" s="11">
        <v>2246990558</v>
      </c>
      <c r="E30" s="4" t="s">
        <v>414</v>
      </c>
      <c r="F30" s="25">
        <v>124616</v>
      </c>
      <c r="G30" s="4" t="s">
        <v>94</v>
      </c>
      <c r="H30" s="14" t="s">
        <v>444</v>
      </c>
    </row>
    <row r="31" spans="1:8" ht="15.75" customHeight="1" x14ac:dyDescent="0.35">
      <c r="A31" s="5" t="s">
        <v>435</v>
      </c>
      <c r="B31" s="5" t="s">
        <v>436</v>
      </c>
      <c r="C31" s="5" t="s">
        <v>445</v>
      </c>
      <c r="D31" s="12">
        <v>2253924632</v>
      </c>
      <c r="E31" s="6" t="s">
        <v>414</v>
      </c>
      <c r="F31" s="26">
        <v>86829</v>
      </c>
      <c r="G31" s="6" t="s">
        <v>94</v>
      </c>
      <c r="H31" s="15" t="s">
        <v>446</v>
      </c>
    </row>
    <row r="32" spans="1:8" ht="15.75" customHeight="1" x14ac:dyDescent="0.35">
      <c r="A32" s="3" t="s">
        <v>435</v>
      </c>
      <c r="B32" s="3" t="s">
        <v>436</v>
      </c>
      <c r="C32" s="3" t="s">
        <v>447</v>
      </c>
      <c r="D32" s="11">
        <v>2245184651</v>
      </c>
      <c r="E32" s="4" t="s">
        <v>414</v>
      </c>
      <c r="F32" s="25">
        <v>71579</v>
      </c>
      <c r="G32" s="4" t="s">
        <v>94</v>
      </c>
      <c r="H32" s="14" t="s">
        <v>448</v>
      </c>
    </row>
    <row r="33" spans="1:8" ht="15.75" customHeight="1" x14ac:dyDescent="0.35">
      <c r="A33" s="5" t="s">
        <v>435</v>
      </c>
      <c r="B33" s="5" t="s">
        <v>436</v>
      </c>
      <c r="C33" s="5" t="s">
        <v>449</v>
      </c>
      <c r="D33" s="12">
        <v>131143261189</v>
      </c>
      <c r="E33" s="6" t="s">
        <v>414</v>
      </c>
      <c r="F33" s="26">
        <v>39122</v>
      </c>
      <c r="G33" s="6" t="s">
        <v>94</v>
      </c>
      <c r="H33" s="15" t="s">
        <v>446</v>
      </c>
    </row>
    <row r="34" spans="1:8" ht="15.75" customHeight="1" x14ac:dyDescent="0.35">
      <c r="A34" s="3" t="s">
        <v>435</v>
      </c>
      <c r="B34" s="3" t="s">
        <v>436</v>
      </c>
      <c r="C34" s="3" t="s">
        <v>450</v>
      </c>
      <c r="D34" s="11">
        <v>2253942072</v>
      </c>
      <c r="E34" s="4" t="s">
        <v>414</v>
      </c>
      <c r="F34" s="25">
        <v>23205</v>
      </c>
      <c r="G34" s="4" t="s">
        <v>94</v>
      </c>
      <c r="H34" s="14" t="s">
        <v>448</v>
      </c>
    </row>
    <row r="36" spans="1:8" ht="18" customHeight="1" x14ac:dyDescent="0.35">
      <c r="A36" s="23" t="s">
        <v>451</v>
      </c>
      <c r="B36" s="23"/>
      <c r="C36" s="23"/>
      <c r="D36" s="23"/>
      <c r="E36" s="23"/>
      <c r="F36" s="23"/>
      <c r="G36" s="23"/>
      <c r="H36" s="23"/>
    </row>
    <row r="37" spans="1:8" ht="15.75" customHeight="1" x14ac:dyDescent="0.35">
      <c r="A37" s="3" t="s">
        <v>452</v>
      </c>
      <c r="B37" s="3" t="s">
        <v>412</v>
      </c>
      <c r="C37" s="3" t="s">
        <v>453</v>
      </c>
      <c r="D37" s="11">
        <v>2224226631</v>
      </c>
      <c r="E37" s="4" t="s">
        <v>414</v>
      </c>
      <c r="F37" s="25">
        <v>509236</v>
      </c>
      <c r="G37" s="4" t="s">
        <v>111</v>
      </c>
      <c r="H37" s="4" t="s">
        <v>29</v>
      </c>
    </row>
    <row r="38" spans="1:8" ht="15.75" customHeight="1" x14ac:dyDescent="0.35">
      <c r="A38" s="5" t="s">
        <v>452</v>
      </c>
      <c r="B38" s="5" t="s">
        <v>412</v>
      </c>
      <c r="C38" s="5" t="s">
        <v>454</v>
      </c>
      <c r="D38" s="12">
        <v>131729222283</v>
      </c>
      <c r="E38" s="6" t="s">
        <v>414</v>
      </c>
      <c r="F38" s="26">
        <v>243366</v>
      </c>
      <c r="G38" s="6" t="s">
        <v>111</v>
      </c>
      <c r="H38" s="6" t="s">
        <v>29</v>
      </c>
    </row>
    <row r="39" spans="1:8" ht="15.75" customHeight="1" x14ac:dyDescent="0.35">
      <c r="A39" s="3" t="s">
        <v>452</v>
      </c>
      <c r="B39" s="3" t="s">
        <v>412</v>
      </c>
      <c r="C39" s="3" t="s">
        <v>455</v>
      </c>
      <c r="D39" s="11">
        <v>2246610356</v>
      </c>
      <c r="E39" s="4" t="s">
        <v>414</v>
      </c>
      <c r="F39" s="25">
        <v>142697</v>
      </c>
      <c r="G39" s="4" t="s">
        <v>111</v>
      </c>
      <c r="H39" s="4" t="s">
        <v>29</v>
      </c>
    </row>
    <row r="40" spans="1:8" ht="15.75" customHeight="1" x14ac:dyDescent="0.35">
      <c r="A40" s="5" t="s">
        <v>452</v>
      </c>
      <c r="B40" s="5" t="s">
        <v>412</v>
      </c>
      <c r="C40" s="5" t="s">
        <v>456</v>
      </c>
      <c r="D40" s="12">
        <v>2252853004</v>
      </c>
      <c r="E40" s="6" t="s">
        <v>414</v>
      </c>
      <c r="F40" s="26">
        <v>155666</v>
      </c>
      <c r="G40" s="6" t="s">
        <v>111</v>
      </c>
      <c r="H40" s="6" t="s">
        <v>29</v>
      </c>
    </row>
    <row r="41" spans="1:8" ht="15.75" customHeight="1" x14ac:dyDescent="0.35">
      <c r="A41" s="3" t="s">
        <v>452</v>
      </c>
      <c r="B41" s="3" t="s">
        <v>412</v>
      </c>
      <c r="C41" s="3" t="s">
        <v>457</v>
      </c>
      <c r="D41" s="11">
        <v>131704377587</v>
      </c>
      <c r="E41" s="4" t="s">
        <v>414</v>
      </c>
      <c r="F41" s="25">
        <v>131235</v>
      </c>
      <c r="G41" s="4" t="s">
        <v>111</v>
      </c>
      <c r="H41" s="4" t="s">
        <v>29</v>
      </c>
    </row>
    <row r="42" spans="1:8" ht="15.75" customHeight="1" x14ac:dyDescent="0.35">
      <c r="A42" s="5" t="s">
        <v>452</v>
      </c>
      <c r="B42" s="5" t="s">
        <v>412</v>
      </c>
      <c r="C42" s="5" t="s">
        <v>458</v>
      </c>
      <c r="D42" s="12">
        <v>2232055733</v>
      </c>
      <c r="E42" s="6" t="s">
        <v>414</v>
      </c>
      <c r="F42" s="26">
        <v>55877</v>
      </c>
      <c r="G42" s="6" t="s">
        <v>111</v>
      </c>
      <c r="H42" s="6" t="s">
        <v>29</v>
      </c>
    </row>
    <row r="43" spans="1:8" ht="15.75" customHeight="1" x14ac:dyDescent="0.35">
      <c r="A43" s="3" t="s">
        <v>452</v>
      </c>
      <c r="B43" s="3" t="s">
        <v>412</v>
      </c>
      <c r="C43" s="3" t="s">
        <v>459</v>
      </c>
      <c r="D43" s="11">
        <v>131323552209</v>
      </c>
      <c r="E43" s="4" t="s">
        <v>414</v>
      </c>
      <c r="F43" s="25">
        <v>32034</v>
      </c>
      <c r="G43" s="4" t="s">
        <v>111</v>
      </c>
      <c r="H43" s="4" t="s">
        <v>29</v>
      </c>
    </row>
    <row r="45" spans="1:8" ht="18" customHeight="1" x14ac:dyDescent="0.35">
      <c r="A45" s="22" t="s">
        <v>460</v>
      </c>
      <c r="B45" s="22"/>
      <c r="C45" s="22"/>
      <c r="D45" s="22"/>
      <c r="E45" s="22"/>
      <c r="F45" s="22"/>
      <c r="G45" s="22"/>
      <c r="H45" s="22"/>
    </row>
    <row r="46" spans="1:8" ht="15.75" customHeight="1" x14ac:dyDescent="0.35">
      <c r="A46" s="3" t="s">
        <v>461</v>
      </c>
      <c r="B46" s="3" t="s">
        <v>436</v>
      </c>
      <c r="C46" s="3" t="s">
        <v>462</v>
      </c>
      <c r="D46" s="11">
        <v>2252959957</v>
      </c>
      <c r="E46" s="4" t="s">
        <v>414</v>
      </c>
      <c r="F46" s="25">
        <v>1314673</v>
      </c>
      <c r="G46" s="4" t="s">
        <v>111</v>
      </c>
      <c r="H46" s="14" t="s">
        <v>463</v>
      </c>
    </row>
    <row r="47" spans="1:8" ht="15.75" customHeight="1" x14ac:dyDescent="0.35">
      <c r="A47" s="5" t="s">
        <v>461</v>
      </c>
      <c r="B47" s="5" t="s">
        <v>436</v>
      </c>
      <c r="C47" s="5" t="s">
        <v>464</v>
      </c>
      <c r="D47" s="12">
        <v>131198636782</v>
      </c>
      <c r="E47" s="6" t="s">
        <v>414</v>
      </c>
      <c r="F47" s="26">
        <v>422097</v>
      </c>
      <c r="G47" s="6" t="s">
        <v>111</v>
      </c>
      <c r="H47" s="15" t="s">
        <v>440</v>
      </c>
    </row>
    <row r="48" spans="1:8" ht="15.75" customHeight="1" x14ac:dyDescent="0.35">
      <c r="A48" s="3" t="s">
        <v>461</v>
      </c>
      <c r="B48" s="3" t="s">
        <v>436</v>
      </c>
      <c r="C48" s="3" t="s">
        <v>465</v>
      </c>
      <c r="D48" s="11">
        <v>2252684941</v>
      </c>
      <c r="E48" s="4" t="s">
        <v>414</v>
      </c>
      <c r="F48" s="25">
        <v>353784</v>
      </c>
      <c r="G48" s="4" t="s">
        <v>111</v>
      </c>
      <c r="H48" s="14" t="s">
        <v>446</v>
      </c>
    </row>
    <row r="49" spans="1:8" ht="15.75" customHeight="1" x14ac:dyDescent="0.35">
      <c r="A49" s="5" t="s">
        <v>461</v>
      </c>
      <c r="B49" s="5" t="s">
        <v>436</v>
      </c>
      <c r="C49" s="5" t="s">
        <v>466</v>
      </c>
      <c r="D49" s="12">
        <v>131349162631</v>
      </c>
      <c r="E49" s="6" t="s">
        <v>414</v>
      </c>
      <c r="F49" s="26">
        <v>105596</v>
      </c>
      <c r="G49" s="6" t="s">
        <v>111</v>
      </c>
      <c r="H49" s="15" t="s">
        <v>440</v>
      </c>
    </row>
    <row r="50" spans="1:8" ht="15.75" customHeight="1" x14ac:dyDescent="0.35">
      <c r="A50" s="3" t="s">
        <v>461</v>
      </c>
      <c r="B50" s="3" t="s">
        <v>436</v>
      </c>
      <c r="C50" s="3" t="s">
        <v>467</v>
      </c>
      <c r="D50" s="11">
        <v>131805662300</v>
      </c>
      <c r="E50" s="4" t="s">
        <v>414</v>
      </c>
      <c r="F50" s="25">
        <v>70888</v>
      </c>
      <c r="G50" s="4" t="s">
        <v>111</v>
      </c>
      <c r="H50" s="14" t="s">
        <v>444</v>
      </c>
    </row>
    <row r="51" spans="1:8" ht="15.75" customHeight="1" x14ac:dyDescent="0.35">
      <c r="A51" s="5" t="s">
        <v>461</v>
      </c>
      <c r="B51" s="5" t="s">
        <v>436</v>
      </c>
      <c r="C51" s="5" t="s">
        <v>468</v>
      </c>
      <c r="D51" s="12">
        <v>2232559227</v>
      </c>
      <c r="E51" s="6" t="s">
        <v>414</v>
      </c>
      <c r="F51" s="26">
        <v>58292</v>
      </c>
      <c r="G51" s="6" t="s">
        <v>111</v>
      </c>
      <c r="H51" s="15" t="s">
        <v>446</v>
      </c>
    </row>
    <row r="53" spans="1:8" ht="18" customHeight="1" x14ac:dyDescent="0.35">
      <c r="A53" s="21" t="s">
        <v>469</v>
      </c>
      <c r="B53" s="21"/>
      <c r="C53" s="21"/>
      <c r="D53" s="21"/>
      <c r="E53" s="21"/>
      <c r="F53" s="21"/>
      <c r="G53" s="21"/>
      <c r="H53" s="21"/>
    </row>
    <row r="54" spans="1:8" ht="15.75" customHeight="1" x14ac:dyDescent="0.35">
      <c r="A54" s="3" t="s">
        <v>470</v>
      </c>
      <c r="B54" s="3" t="s">
        <v>412</v>
      </c>
      <c r="C54" s="3" t="s">
        <v>471</v>
      </c>
      <c r="D54" s="11">
        <v>131899161850</v>
      </c>
      <c r="E54" s="4" t="s">
        <v>414</v>
      </c>
      <c r="F54" s="25">
        <v>869964</v>
      </c>
      <c r="G54" s="4" t="s">
        <v>303</v>
      </c>
      <c r="H54" s="4" t="s">
        <v>29</v>
      </c>
    </row>
    <row r="55" spans="1:8" ht="15.75" customHeight="1" x14ac:dyDescent="0.35">
      <c r="A55" s="5" t="s">
        <v>470</v>
      </c>
      <c r="B55" s="5" t="s">
        <v>412</v>
      </c>
      <c r="C55" s="5" t="s">
        <v>472</v>
      </c>
      <c r="D55" s="12">
        <v>131116478506</v>
      </c>
      <c r="E55" s="6" t="s">
        <v>414</v>
      </c>
      <c r="F55" s="26">
        <v>399954</v>
      </c>
      <c r="G55" s="6" t="s">
        <v>303</v>
      </c>
      <c r="H55" s="6" t="s">
        <v>29</v>
      </c>
    </row>
    <row r="56" spans="1:8" ht="15.75" customHeight="1" x14ac:dyDescent="0.35">
      <c r="A56" s="3" t="s">
        <v>470</v>
      </c>
      <c r="B56" s="3" t="s">
        <v>412</v>
      </c>
      <c r="C56" s="3" t="s">
        <v>473</v>
      </c>
      <c r="D56" s="11">
        <v>2252349457</v>
      </c>
      <c r="E56" s="4" t="s">
        <v>414</v>
      </c>
      <c r="F56" s="25">
        <v>376399</v>
      </c>
      <c r="G56" s="4" t="s">
        <v>303</v>
      </c>
      <c r="H56" s="4" t="s">
        <v>29</v>
      </c>
    </row>
    <row r="57" spans="1:8" ht="15.75" customHeight="1" x14ac:dyDescent="0.35">
      <c r="A57" s="5" t="s">
        <v>470</v>
      </c>
      <c r="B57" s="5" t="s">
        <v>412</v>
      </c>
      <c r="C57" s="5" t="s">
        <v>474</v>
      </c>
      <c r="D57" s="12">
        <v>131541969315</v>
      </c>
      <c r="E57" s="6" t="s">
        <v>414</v>
      </c>
      <c r="F57" s="26">
        <v>29209</v>
      </c>
      <c r="G57" s="6" t="s">
        <v>303</v>
      </c>
      <c r="H57" s="6" t="s">
        <v>29</v>
      </c>
    </row>
    <row r="59" spans="1:8" ht="18" customHeight="1" x14ac:dyDescent="0.35">
      <c r="A59" s="20" t="s">
        <v>475</v>
      </c>
      <c r="B59" s="20"/>
      <c r="C59" s="20"/>
      <c r="D59" s="20"/>
      <c r="E59" s="20"/>
      <c r="F59" s="20"/>
      <c r="G59" s="20"/>
      <c r="H59" s="20"/>
    </row>
    <row r="60" spans="1:8" ht="15.75" customHeight="1" x14ac:dyDescent="0.35">
      <c r="A60" s="3" t="s">
        <v>362</v>
      </c>
      <c r="B60" s="3" t="s">
        <v>436</v>
      </c>
      <c r="C60" s="3" t="s">
        <v>476</v>
      </c>
      <c r="D60" s="11">
        <v>2232499129</v>
      </c>
      <c r="E60" s="4" t="s">
        <v>414</v>
      </c>
      <c r="F60" s="25">
        <v>152449</v>
      </c>
      <c r="G60" s="4" t="s">
        <v>303</v>
      </c>
      <c r="H60" s="14" t="s">
        <v>440</v>
      </c>
    </row>
    <row r="61" spans="1:8" ht="15.75" customHeight="1" x14ac:dyDescent="0.35">
      <c r="A61" s="5" t="s">
        <v>362</v>
      </c>
      <c r="B61" s="5" t="s">
        <v>436</v>
      </c>
      <c r="C61" s="5" t="s">
        <v>477</v>
      </c>
      <c r="D61" s="12">
        <v>2253317852</v>
      </c>
      <c r="E61" s="6" t="s">
        <v>414</v>
      </c>
      <c r="F61" s="26">
        <v>142540</v>
      </c>
      <c r="G61" s="6" t="s">
        <v>303</v>
      </c>
      <c r="H61" s="15" t="s">
        <v>448</v>
      </c>
    </row>
    <row r="63" spans="1:8" ht="18" customHeight="1" x14ac:dyDescent="0.35">
      <c r="A63" s="19" t="s">
        <v>478</v>
      </c>
      <c r="B63" s="19"/>
      <c r="C63" s="19"/>
      <c r="D63" s="19"/>
      <c r="E63" s="19"/>
      <c r="F63" s="19"/>
      <c r="G63" s="19"/>
      <c r="H63" s="19"/>
    </row>
    <row r="64" spans="1:8" ht="15.75" customHeight="1" x14ac:dyDescent="0.35">
      <c r="A64" s="3" t="s">
        <v>197</v>
      </c>
      <c r="B64" s="3" t="s">
        <v>436</v>
      </c>
      <c r="C64" s="3" t="s">
        <v>479</v>
      </c>
      <c r="D64" s="11">
        <v>2245355669</v>
      </c>
      <c r="E64" s="4" t="s">
        <v>429</v>
      </c>
      <c r="F64" s="25">
        <v>322241</v>
      </c>
      <c r="G64" s="4" t="s">
        <v>94</v>
      </c>
      <c r="H64" s="14" t="s">
        <v>463</v>
      </c>
    </row>
    <row r="65" spans="1:8" ht="15.75" customHeight="1" x14ac:dyDescent="0.35">
      <c r="A65" s="5" t="s">
        <v>197</v>
      </c>
      <c r="B65" s="5" t="s">
        <v>436</v>
      </c>
      <c r="C65" s="5" t="s">
        <v>480</v>
      </c>
      <c r="D65" s="12">
        <v>2263427973</v>
      </c>
      <c r="E65" s="6" t="s">
        <v>429</v>
      </c>
      <c r="F65" s="26">
        <v>240407</v>
      </c>
      <c r="G65" s="6" t="s">
        <v>94</v>
      </c>
      <c r="H65" s="15" t="s">
        <v>444</v>
      </c>
    </row>
    <row r="66" spans="1:8" ht="15.75" customHeight="1" x14ac:dyDescent="0.35">
      <c r="A66" s="3" t="s">
        <v>197</v>
      </c>
      <c r="B66" s="3" t="s">
        <v>436</v>
      </c>
      <c r="C66" s="3" t="s">
        <v>481</v>
      </c>
      <c r="D66" s="11">
        <v>2246665052</v>
      </c>
      <c r="E66" s="4" t="s">
        <v>429</v>
      </c>
      <c r="F66" s="25">
        <v>149570</v>
      </c>
      <c r="G66" s="4" t="s">
        <v>94</v>
      </c>
      <c r="H66" s="14" t="s">
        <v>440</v>
      </c>
    </row>
    <row r="67" spans="1:8" ht="15.75" customHeight="1" x14ac:dyDescent="0.35">
      <c r="A67" s="5" t="s">
        <v>197</v>
      </c>
      <c r="B67" s="5" t="s">
        <v>436</v>
      </c>
      <c r="C67" s="5" t="s">
        <v>482</v>
      </c>
      <c r="D67" s="12">
        <v>2232069680</v>
      </c>
      <c r="E67" s="6" t="s">
        <v>429</v>
      </c>
      <c r="F67" s="26">
        <v>141014</v>
      </c>
      <c r="G67" s="6" t="s">
        <v>94</v>
      </c>
      <c r="H67" s="15" t="s">
        <v>448</v>
      </c>
    </row>
    <row r="68" spans="1:8" ht="15.75" customHeight="1" x14ac:dyDescent="0.35">
      <c r="A68" s="3" t="s">
        <v>197</v>
      </c>
      <c r="B68" s="3" t="s">
        <v>436</v>
      </c>
      <c r="C68" s="3" t="s">
        <v>483</v>
      </c>
      <c r="D68" s="11">
        <v>2224462201</v>
      </c>
      <c r="E68" s="4" t="s">
        <v>429</v>
      </c>
      <c r="F68" s="25">
        <v>78451</v>
      </c>
      <c r="G68" s="4" t="s">
        <v>94</v>
      </c>
      <c r="H68" s="14" t="s">
        <v>438</v>
      </c>
    </row>
    <row r="69" spans="1:8" ht="15.75" customHeight="1" x14ac:dyDescent="0.35">
      <c r="A69" s="5" t="s">
        <v>197</v>
      </c>
      <c r="B69" s="5" t="s">
        <v>436</v>
      </c>
      <c r="C69" s="5" t="s">
        <v>484</v>
      </c>
      <c r="D69" s="12">
        <v>2245195696</v>
      </c>
      <c r="E69" s="6" t="s">
        <v>429</v>
      </c>
      <c r="F69" s="26">
        <v>37168</v>
      </c>
      <c r="G69" s="6" t="s">
        <v>94</v>
      </c>
      <c r="H69" s="15" t="s">
        <v>463</v>
      </c>
    </row>
    <row r="70" spans="1:8" ht="15.75" customHeight="1" x14ac:dyDescent="0.35">
      <c r="A70" s="3" t="s">
        <v>197</v>
      </c>
      <c r="B70" s="3" t="s">
        <v>436</v>
      </c>
      <c r="C70" s="3" t="s">
        <v>485</v>
      </c>
      <c r="D70" s="11">
        <v>2253707060</v>
      </c>
      <c r="E70" s="4" t="s">
        <v>429</v>
      </c>
      <c r="F70" s="25">
        <v>8334</v>
      </c>
      <c r="G70" s="4" t="s">
        <v>94</v>
      </c>
      <c r="H70" s="14" t="s">
        <v>438</v>
      </c>
    </row>
    <row r="71" spans="1:8" ht="15.75" customHeight="1" x14ac:dyDescent="0.35">
      <c r="A71" s="5" t="s">
        <v>197</v>
      </c>
      <c r="B71" s="5" t="s">
        <v>436</v>
      </c>
      <c r="C71" s="5" t="s">
        <v>486</v>
      </c>
      <c r="D71" s="12">
        <v>131748674163</v>
      </c>
      <c r="E71" s="6" t="s">
        <v>429</v>
      </c>
      <c r="F71" s="26">
        <v>7529</v>
      </c>
      <c r="G71" s="6" t="s">
        <v>94</v>
      </c>
      <c r="H71" s="15" t="s">
        <v>438</v>
      </c>
    </row>
    <row r="73" spans="1:8" ht="18" customHeight="1" x14ac:dyDescent="0.35">
      <c r="A73" s="18" t="s">
        <v>487</v>
      </c>
      <c r="B73" s="18"/>
      <c r="C73" s="18"/>
      <c r="D73" s="18"/>
      <c r="E73" s="18"/>
      <c r="F73" s="18"/>
      <c r="G73" s="18"/>
      <c r="H73" s="18"/>
    </row>
    <row r="74" spans="1:8" ht="15.75" customHeight="1" x14ac:dyDescent="0.35">
      <c r="A74" s="3" t="s">
        <v>317</v>
      </c>
      <c r="B74" s="3" t="s">
        <v>412</v>
      </c>
      <c r="C74" s="3" t="s">
        <v>474</v>
      </c>
      <c r="D74" s="11">
        <v>131541969315</v>
      </c>
      <c r="E74" s="4" t="s">
        <v>429</v>
      </c>
      <c r="F74" s="25">
        <v>240949</v>
      </c>
      <c r="G74" s="4" t="s">
        <v>111</v>
      </c>
      <c r="H74" s="4" t="s">
        <v>29</v>
      </c>
    </row>
    <row r="75" spans="1:8" ht="15.75" customHeight="1" x14ac:dyDescent="0.35">
      <c r="A75" s="5" t="s">
        <v>317</v>
      </c>
      <c r="B75" s="5" t="s">
        <v>412</v>
      </c>
      <c r="C75" s="5" t="s">
        <v>488</v>
      </c>
      <c r="D75" s="12">
        <v>131646120384</v>
      </c>
      <c r="E75" s="6" t="s">
        <v>429</v>
      </c>
      <c r="F75" s="26">
        <v>148528</v>
      </c>
      <c r="G75" s="6" t="s">
        <v>111</v>
      </c>
      <c r="H75" s="6" t="s">
        <v>29</v>
      </c>
    </row>
    <row r="76" spans="1:8" ht="15.75" customHeight="1" x14ac:dyDescent="0.35">
      <c r="A76" s="3" t="s">
        <v>317</v>
      </c>
      <c r="B76" s="3" t="s">
        <v>412</v>
      </c>
      <c r="C76" s="3" t="s">
        <v>489</v>
      </c>
      <c r="D76" s="11">
        <v>2245869484</v>
      </c>
      <c r="E76" s="4" t="s">
        <v>429</v>
      </c>
      <c r="F76" s="25">
        <v>121129</v>
      </c>
      <c r="G76" s="4" t="s">
        <v>111</v>
      </c>
      <c r="H76" s="4" t="s">
        <v>29</v>
      </c>
    </row>
    <row r="77" spans="1:8" ht="15.75" customHeight="1" x14ac:dyDescent="0.35">
      <c r="A77" s="5" t="s">
        <v>317</v>
      </c>
      <c r="B77" s="5" t="s">
        <v>412</v>
      </c>
      <c r="C77" s="5" t="s">
        <v>490</v>
      </c>
      <c r="D77" s="12">
        <v>2235094801</v>
      </c>
      <c r="E77" s="6" t="s">
        <v>429</v>
      </c>
      <c r="F77" s="26">
        <v>97140</v>
      </c>
      <c r="G77" s="6" t="s">
        <v>111</v>
      </c>
      <c r="H77" s="6" t="s">
        <v>29</v>
      </c>
    </row>
    <row r="78" spans="1:8" ht="15.75" customHeight="1" x14ac:dyDescent="0.35">
      <c r="A78" s="3" t="s">
        <v>317</v>
      </c>
      <c r="B78" s="3" t="s">
        <v>412</v>
      </c>
      <c r="C78" s="3" t="s">
        <v>491</v>
      </c>
      <c r="D78" s="11">
        <v>131516762187</v>
      </c>
      <c r="E78" s="4" t="s">
        <v>429</v>
      </c>
      <c r="F78" s="25">
        <v>50451</v>
      </c>
      <c r="G78" s="4" t="s">
        <v>111</v>
      </c>
      <c r="H78" s="4" t="s">
        <v>29</v>
      </c>
    </row>
    <row r="79" spans="1:8" ht="15.75" customHeight="1" x14ac:dyDescent="0.35">
      <c r="A79" s="5" t="s">
        <v>317</v>
      </c>
      <c r="B79" s="5" t="s">
        <v>412</v>
      </c>
      <c r="C79" s="5" t="s">
        <v>492</v>
      </c>
      <c r="D79" s="12">
        <v>2246200323</v>
      </c>
      <c r="E79" s="6" t="s">
        <v>429</v>
      </c>
      <c r="F79" s="26">
        <v>17241</v>
      </c>
      <c r="G79" s="6" t="s">
        <v>111</v>
      </c>
      <c r="H79" s="6" t="s">
        <v>29</v>
      </c>
    </row>
    <row r="81" spans="1:8" ht="18" customHeight="1" x14ac:dyDescent="0.35">
      <c r="A81" s="17" t="s">
        <v>493</v>
      </c>
      <c r="B81" s="17"/>
      <c r="C81" s="17"/>
      <c r="D81" s="17"/>
      <c r="E81" s="17"/>
      <c r="F81" s="17"/>
      <c r="G81" s="17"/>
      <c r="H81" s="17"/>
    </row>
    <row r="82" spans="1:8" ht="15.75" customHeight="1" x14ac:dyDescent="0.35">
      <c r="A82" s="3" t="s">
        <v>317</v>
      </c>
      <c r="B82" s="3" t="s">
        <v>412</v>
      </c>
      <c r="C82" s="3" t="s">
        <v>494</v>
      </c>
      <c r="D82" s="11">
        <v>131379586072</v>
      </c>
      <c r="E82" s="4" t="s">
        <v>429</v>
      </c>
      <c r="F82" s="25">
        <v>561992</v>
      </c>
      <c r="G82" s="4" t="s">
        <v>303</v>
      </c>
      <c r="H82" s="4" t="s">
        <v>29</v>
      </c>
    </row>
    <row r="83" spans="1:8" ht="15.75" customHeight="1" x14ac:dyDescent="0.35">
      <c r="A83" s="5" t="s">
        <v>317</v>
      </c>
      <c r="B83" s="5" t="s">
        <v>412</v>
      </c>
      <c r="C83" s="5" t="s">
        <v>495</v>
      </c>
      <c r="D83" s="12">
        <v>2245580851</v>
      </c>
      <c r="E83" s="6" t="s">
        <v>429</v>
      </c>
      <c r="F83" s="26">
        <v>430133</v>
      </c>
      <c r="G83" s="6" t="s">
        <v>303</v>
      </c>
      <c r="H83" s="6" t="s">
        <v>29</v>
      </c>
    </row>
    <row r="84" spans="1:8" ht="15.75" customHeight="1" x14ac:dyDescent="0.35">
      <c r="A84" s="3" t="s">
        <v>317</v>
      </c>
      <c r="B84" s="3" t="s">
        <v>412</v>
      </c>
      <c r="C84" s="3" t="s">
        <v>496</v>
      </c>
      <c r="D84" s="11">
        <v>2263073888</v>
      </c>
      <c r="E84" s="4" t="s">
        <v>429</v>
      </c>
      <c r="F84" s="25">
        <v>290087</v>
      </c>
      <c r="G84" s="4" t="s">
        <v>303</v>
      </c>
      <c r="H84" s="4" t="s">
        <v>29</v>
      </c>
    </row>
    <row r="85" spans="1:8" ht="15.75" customHeight="1" x14ac:dyDescent="0.35">
      <c r="A85" s="5" t="s">
        <v>317</v>
      </c>
      <c r="B85" s="5" t="s">
        <v>412</v>
      </c>
      <c r="C85" s="5" t="s">
        <v>497</v>
      </c>
      <c r="D85" s="12">
        <v>2232573019</v>
      </c>
      <c r="E85" s="6" t="s">
        <v>429</v>
      </c>
      <c r="F85" s="26">
        <v>183759</v>
      </c>
      <c r="G85" s="6" t="s">
        <v>303</v>
      </c>
      <c r="H85" s="6" t="s">
        <v>29</v>
      </c>
    </row>
    <row r="86" spans="1:8" ht="15.75" customHeight="1" x14ac:dyDescent="0.35">
      <c r="A86" s="3" t="s">
        <v>317</v>
      </c>
      <c r="B86" s="3" t="s">
        <v>412</v>
      </c>
      <c r="C86" s="3" t="s">
        <v>498</v>
      </c>
      <c r="D86" s="11">
        <v>131994667465</v>
      </c>
      <c r="E86" s="4" t="s">
        <v>429</v>
      </c>
      <c r="F86" s="25">
        <v>162140</v>
      </c>
      <c r="G86" s="4" t="s">
        <v>303</v>
      </c>
      <c r="H86" s="4" t="s">
        <v>29</v>
      </c>
    </row>
    <row r="87" spans="1:8" ht="15.75" customHeight="1" x14ac:dyDescent="0.35">
      <c r="A87" s="5" t="s">
        <v>317</v>
      </c>
      <c r="B87" s="5" t="s">
        <v>412</v>
      </c>
      <c r="C87" s="5" t="s">
        <v>499</v>
      </c>
      <c r="D87" s="12">
        <v>131887123728</v>
      </c>
      <c r="E87" s="6" t="s">
        <v>429</v>
      </c>
      <c r="F87" s="26">
        <v>52046</v>
      </c>
      <c r="G87" s="6" t="s">
        <v>303</v>
      </c>
      <c r="H87" s="6" t="s">
        <v>29</v>
      </c>
    </row>
    <row r="88" spans="1:8" ht="15.75" customHeight="1" x14ac:dyDescent="0.35">
      <c r="A88" s="3" t="s">
        <v>317</v>
      </c>
      <c r="B88" s="3" t="s">
        <v>412</v>
      </c>
      <c r="C88" s="3" t="s">
        <v>490</v>
      </c>
      <c r="D88" s="11">
        <v>2235094801</v>
      </c>
      <c r="E88" s="4" t="s">
        <v>429</v>
      </c>
      <c r="F88" s="25">
        <v>287755</v>
      </c>
      <c r="G88" s="4" t="s">
        <v>303</v>
      </c>
      <c r="H88" s="4" t="s">
        <v>29</v>
      </c>
    </row>
    <row r="90" spans="1:8" ht="18" customHeight="1" x14ac:dyDescent="0.35">
      <c r="A90" s="16" t="s">
        <v>500</v>
      </c>
      <c r="B90" s="16"/>
      <c r="C90" s="16"/>
      <c r="D90" s="16"/>
      <c r="E90" s="16"/>
      <c r="F90" s="16"/>
      <c r="G90" s="16"/>
      <c r="H90" s="16"/>
    </row>
    <row r="91" spans="1:8" ht="15.75" customHeight="1" x14ac:dyDescent="0.35">
      <c r="A91" s="3" t="s">
        <v>317</v>
      </c>
      <c r="B91" s="3" t="s">
        <v>436</v>
      </c>
      <c r="C91" s="3" t="s">
        <v>501</v>
      </c>
      <c r="D91" s="11">
        <v>2246575492</v>
      </c>
      <c r="E91" s="4" t="s">
        <v>429</v>
      </c>
      <c r="F91" s="25">
        <v>565910</v>
      </c>
      <c r="G91" s="4" t="s">
        <v>111</v>
      </c>
      <c r="H91" s="14" t="s">
        <v>463</v>
      </c>
    </row>
    <row r="92" spans="1:8" ht="15.75" customHeight="1" x14ac:dyDescent="0.35">
      <c r="A92" s="5" t="s">
        <v>317</v>
      </c>
      <c r="B92" s="5" t="s">
        <v>436</v>
      </c>
      <c r="C92" s="5" t="s">
        <v>502</v>
      </c>
      <c r="D92" s="12">
        <v>2246762182</v>
      </c>
      <c r="E92" s="6" t="s">
        <v>429</v>
      </c>
      <c r="F92" s="26">
        <v>142466</v>
      </c>
      <c r="G92" s="6" t="s">
        <v>111</v>
      </c>
      <c r="H92" s="15" t="s">
        <v>440</v>
      </c>
    </row>
    <row r="93" spans="1:8" ht="15.75" customHeight="1" x14ac:dyDescent="0.35">
      <c r="A93" s="3" t="s">
        <v>317</v>
      </c>
      <c r="B93" s="3" t="s">
        <v>436</v>
      </c>
      <c r="C93" s="3" t="s">
        <v>503</v>
      </c>
      <c r="D93" s="11">
        <v>2252585355</v>
      </c>
      <c r="E93" s="4" t="s">
        <v>429</v>
      </c>
      <c r="F93" s="25">
        <v>104639</v>
      </c>
      <c r="G93" s="4" t="s">
        <v>111</v>
      </c>
      <c r="H93" s="14" t="s">
        <v>438</v>
      </c>
    </row>
    <row r="94" spans="1:8" ht="15.75" customHeight="1" x14ac:dyDescent="0.35">
      <c r="A94" s="5" t="s">
        <v>317</v>
      </c>
      <c r="B94" s="5" t="s">
        <v>436</v>
      </c>
      <c r="C94" s="5" t="s">
        <v>504</v>
      </c>
      <c r="D94" s="12">
        <v>2232257953</v>
      </c>
      <c r="E94" s="6" t="s">
        <v>429</v>
      </c>
      <c r="F94" s="26">
        <v>95446</v>
      </c>
      <c r="G94" s="6" t="s">
        <v>111</v>
      </c>
      <c r="H94" s="15" t="s">
        <v>444</v>
      </c>
    </row>
    <row r="95" spans="1:8" ht="15.75" customHeight="1" x14ac:dyDescent="0.35">
      <c r="A95" s="3" t="s">
        <v>317</v>
      </c>
      <c r="B95" s="3" t="s">
        <v>436</v>
      </c>
      <c r="C95" s="3" t="s">
        <v>505</v>
      </c>
      <c r="D95" s="11">
        <v>2246199971</v>
      </c>
      <c r="E95" s="4" t="s">
        <v>429</v>
      </c>
      <c r="F95" s="25">
        <v>118470</v>
      </c>
      <c r="G95" s="4" t="s">
        <v>111</v>
      </c>
      <c r="H95" s="14" t="s">
        <v>438</v>
      </c>
    </row>
    <row r="96" spans="1:8" ht="15.75" customHeight="1" x14ac:dyDescent="0.35">
      <c r="A96" s="5" t="s">
        <v>317</v>
      </c>
      <c r="B96" s="5" t="s">
        <v>436</v>
      </c>
      <c r="C96" s="5" t="s">
        <v>506</v>
      </c>
      <c r="D96" s="12">
        <v>131349753930</v>
      </c>
      <c r="E96" s="6" t="s">
        <v>429</v>
      </c>
      <c r="F96" s="26">
        <v>69938</v>
      </c>
      <c r="G96" s="6" t="s">
        <v>111</v>
      </c>
      <c r="H96" s="15" t="s">
        <v>440</v>
      </c>
    </row>
    <row r="98" spans="1:9" ht="18" customHeight="1" x14ac:dyDescent="0.35">
      <c r="A98" s="7"/>
      <c r="B98" s="7"/>
      <c r="C98" s="7"/>
      <c r="D98" s="7"/>
      <c r="E98" s="7"/>
      <c r="F98" s="7"/>
      <c r="G98" s="7"/>
      <c r="H98" s="7"/>
      <c r="I98" s="7"/>
    </row>
    <row r="99" spans="1:9" ht="15.75" customHeight="1" x14ac:dyDescent="0.35"/>
    <row r="100" spans="1:9" ht="15.75" customHeight="1" x14ac:dyDescent="0.35"/>
    <row r="101" spans="1:9" ht="15.75" customHeight="1" x14ac:dyDescent="0.35"/>
    <row r="102" spans="1:9" ht="15.75" customHeight="1" x14ac:dyDescent="0.35"/>
    <row r="103" spans="1:9" ht="15.75" customHeight="1" x14ac:dyDescent="0.35"/>
    <row r="104" spans="1:9" ht="15.75" customHeight="1" x14ac:dyDescent="0.35"/>
  </sheetData>
  <mergeCells count="13">
    <mergeCell ref="A98:I98"/>
    <mergeCell ref="A1:H1"/>
    <mergeCell ref="A3:H3"/>
    <mergeCell ref="A18:H18"/>
    <mergeCell ref="A90:H90"/>
    <mergeCell ref="A81:H81"/>
    <mergeCell ref="A73:H73"/>
    <mergeCell ref="A63:H63"/>
    <mergeCell ref="A59:H59"/>
    <mergeCell ref="A53:H53"/>
    <mergeCell ref="A45:H45"/>
    <mergeCell ref="A36:H36"/>
    <mergeCell ref="A25:H2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tabSelected="1" zoomScaleNormal="100" workbookViewId="0">
      <pane ySplit="10" topLeftCell="A11" activePane="bottomLeft" state="frozen"/>
      <selection pane="bottomLeft" activeCell="H37" sqref="H37"/>
    </sheetView>
  </sheetViews>
  <sheetFormatPr defaultColWidth="8.6328125" defaultRowHeight="14.5" x14ac:dyDescent="0.35"/>
  <cols>
    <col min="1" max="1" width="29.7265625" style="1" customWidth="1"/>
    <col min="2" max="2" width="15.54296875" style="1" customWidth="1"/>
    <col min="3" max="3" width="15" style="1" customWidth="1"/>
    <col min="4" max="4" width="15.08984375" style="1" customWidth="1"/>
    <col min="5" max="5" width="11.36328125" style="1" customWidth="1"/>
    <col min="6" max="6" width="20" style="1" customWidth="1"/>
    <col min="7" max="7" width="37.1796875" style="1" customWidth="1"/>
  </cols>
  <sheetData>
    <row r="1" spans="1:7" ht="17.5" x14ac:dyDescent="0.35">
      <c r="A1" s="67" t="s">
        <v>507</v>
      </c>
      <c r="B1" s="67"/>
      <c r="C1" s="67"/>
      <c r="D1" s="67"/>
      <c r="E1" s="67"/>
      <c r="F1" s="67"/>
      <c r="G1" s="67"/>
    </row>
    <row r="2" spans="1:7" x14ac:dyDescent="0.35">
      <c r="A2" s="57" t="s">
        <v>508</v>
      </c>
      <c r="B2" s="57"/>
      <c r="C2" s="57"/>
      <c r="D2" s="57"/>
      <c r="E2" s="57"/>
      <c r="F2" s="57"/>
      <c r="G2" s="57"/>
    </row>
    <row r="3" spans="1:7" s="69" customFormat="1" x14ac:dyDescent="0.35">
      <c r="A3" s="68" t="s">
        <v>509</v>
      </c>
      <c r="B3" s="68" t="s">
        <v>510</v>
      </c>
      <c r="C3" s="68" t="s">
        <v>511</v>
      </c>
      <c r="D3" s="68" t="s">
        <v>512</v>
      </c>
      <c r="E3" s="68" t="s">
        <v>513</v>
      </c>
      <c r="F3" s="68" t="s">
        <v>514</v>
      </c>
      <c r="G3" s="68" t="s">
        <v>24</v>
      </c>
    </row>
    <row r="4" spans="1:7" x14ac:dyDescent="0.35">
      <c r="A4" s="58" t="s">
        <v>515</v>
      </c>
      <c r="B4" s="59">
        <v>24</v>
      </c>
      <c r="C4" s="59">
        <v>1</v>
      </c>
      <c r="D4" s="59">
        <v>0</v>
      </c>
      <c r="E4" s="59">
        <v>25</v>
      </c>
      <c r="F4" s="60">
        <f>B4/E4</f>
        <v>0.96</v>
      </c>
      <c r="G4" s="58" t="s">
        <v>516</v>
      </c>
    </row>
    <row r="5" spans="1:7" ht="26" x14ac:dyDescent="0.35">
      <c r="A5" s="61" t="s">
        <v>517</v>
      </c>
      <c r="B5" s="62">
        <v>25</v>
      </c>
      <c r="C5" s="62">
        <v>0</v>
      </c>
      <c r="D5" s="62">
        <v>0</v>
      </c>
      <c r="E5" s="62">
        <v>25</v>
      </c>
      <c r="F5" s="63">
        <f>B5/E5</f>
        <v>1</v>
      </c>
      <c r="G5" s="61" t="s">
        <v>518</v>
      </c>
    </row>
    <row r="6" spans="1:7" ht="26" x14ac:dyDescent="0.35">
      <c r="A6" s="58" t="s">
        <v>519</v>
      </c>
      <c r="B6" s="59">
        <v>23</v>
      </c>
      <c r="C6" s="59">
        <v>2</v>
      </c>
      <c r="D6" s="59">
        <v>0</v>
      </c>
      <c r="E6" s="59">
        <v>25</v>
      </c>
      <c r="F6" s="60">
        <f>B6/E6</f>
        <v>0.92</v>
      </c>
      <c r="G6" s="58" t="s">
        <v>520</v>
      </c>
    </row>
    <row r="7" spans="1:7" x14ac:dyDescent="0.35">
      <c r="A7" s="64" t="s">
        <v>521</v>
      </c>
      <c r="B7" s="65">
        <f>SUM(B4:B6)</f>
        <v>72</v>
      </c>
      <c r="C7" s="65">
        <f>SUM(C4:C6)</f>
        <v>3</v>
      </c>
      <c r="D7" s="65">
        <f>SUM(D4:D6)</f>
        <v>0</v>
      </c>
      <c r="E7" s="65">
        <f>SUM(E4:E6)</f>
        <v>75</v>
      </c>
      <c r="F7" s="66">
        <f>B7/E7</f>
        <v>0.96</v>
      </c>
      <c r="G7" s="64" t="s">
        <v>618</v>
      </c>
    </row>
    <row r="9" spans="1:7" ht="15" x14ac:dyDescent="0.35">
      <c r="A9" s="70" t="s">
        <v>522</v>
      </c>
      <c r="B9" s="70"/>
      <c r="C9" s="70"/>
      <c r="D9" s="70"/>
      <c r="E9" s="70"/>
      <c r="F9" s="70"/>
      <c r="G9" s="70"/>
    </row>
    <row r="10" spans="1:7" s="69" customFormat="1" ht="28" x14ac:dyDescent="0.35">
      <c r="A10" s="72" t="s">
        <v>523</v>
      </c>
      <c r="B10" s="72" t="s">
        <v>524</v>
      </c>
      <c r="C10" s="72" t="s">
        <v>525</v>
      </c>
      <c r="D10" s="72" t="s">
        <v>526</v>
      </c>
      <c r="E10" s="72" t="s">
        <v>5</v>
      </c>
      <c r="F10" s="72" t="s">
        <v>527</v>
      </c>
      <c r="G10" s="72" t="s">
        <v>528</v>
      </c>
    </row>
    <row r="11" spans="1:7" ht="34.5" x14ac:dyDescent="0.35">
      <c r="A11" s="53" t="s">
        <v>529</v>
      </c>
      <c r="B11" s="54" t="s">
        <v>530</v>
      </c>
      <c r="C11" s="53" t="s">
        <v>411</v>
      </c>
      <c r="D11" s="54" t="s">
        <v>531</v>
      </c>
      <c r="E11" s="53" t="s">
        <v>27</v>
      </c>
      <c r="F11" s="54" t="s">
        <v>532</v>
      </c>
      <c r="G11" s="54" t="s">
        <v>533</v>
      </c>
    </row>
    <row r="12" spans="1:7" ht="34.5" x14ac:dyDescent="0.35">
      <c r="A12" s="55" t="s">
        <v>534</v>
      </c>
      <c r="B12" s="56" t="s">
        <v>535</v>
      </c>
      <c r="C12" s="55" t="s">
        <v>124</v>
      </c>
      <c r="D12" s="56" t="s">
        <v>125</v>
      </c>
      <c r="E12" s="55" t="s">
        <v>27</v>
      </c>
      <c r="F12" s="56" t="s">
        <v>41</v>
      </c>
      <c r="G12" s="56"/>
    </row>
    <row r="13" spans="1:7" ht="23" x14ac:dyDescent="0.35">
      <c r="A13" s="53" t="s">
        <v>536</v>
      </c>
      <c r="B13" s="54" t="s">
        <v>537</v>
      </c>
      <c r="C13" s="53" t="s">
        <v>141</v>
      </c>
      <c r="D13" s="54" t="s">
        <v>142</v>
      </c>
      <c r="E13" s="53" t="s">
        <v>27</v>
      </c>
      <c r="F13" s="54" t="s">
        <v>28</v>
      </c>
      <c r="G13" s="54"/>
    </row>
    <row r="14" spans="1:7" ht="34.5" x14ac:dyDescent="0.35">
      <c r="A14" s="55" t="s">
        <v>538</v>
      </c>
      <c r="B14" s="56" t="s">
        <v>539</v>
      </c>
      <c r="C14" s="55" t="s">
        <v>156</v>
      </c>
      <c r="D14" s="56" t="s">
        <v>157</v>
      </c>
      <c r="E14" s="55" t="s">
        <v>27</v>
      </c>
      <c r="F14" s="56" t="s">
        <v>41</v>
      </c>
      <c r="G14" s="56"/>
    </row>
    <row r="15" spans="1:7" ht="34.5" x14ac:dyDescent="0.35">
      <c r="A15" s="53" t="s">
        <v>540</v>
      </c>
      <c r="B15" s="54" t="s">
        <v>541</v>
      </c>
      <c r="C15" s="53" t="s">
        <v>172</v>
      </c>
      <c r="D15" s="54" t="s">
        <v>173</v>
      </c>
      <c r="E15" s="53" t="s">
        <v>27</v>
      </c>
      <c r="F15" s="54" t="s">
        <v>41</v>
      </c>
      <c r="G15" s="54" t="s">
        <v>542</v>
      </c>
    </row>
    <row r="16" spans="1:7" ht="23" x14ac:dyDescent="0.35">
      <c r="A16" s="55" t="s">
        <v>543</v>
      </c>
      <c r="B16" s="56" t="s">
        <v>544</v>
      </c>
      <c r="C16" s="55" t="s">
        <v>301</v>
      </c>
      <c r="D16" s="56" t="s">
        <v>302</v>
      </c>
      <c r="E16" s="55" t="s">
        <v>268</v>
      </c>
      <c r="F16" s="56" t="s">
        <v>41</v>
      </c>
      <c r="G16" s="56"/>
    </row>
    <row r="17" spans="1:7" ht="23" x14ac:dyDescent="0.35">
      <c r="A17" s="53" t="s">
        <v>545</v>
      </c>
      <c r="B17" s="54" t="s">
        <v>546</v>
      </c>
      <c r="C17" s="53" t="s">
        <v>109</v>
      </c>
      <c r="D17" s="54" t="s">
        <v>110</v>
      </c>
      <c r="E17" s="53" t="s">
        <v>27</v>
      </c>
      <c r="F17" s="54" t="s">
        <v>41</v>
      </c>
      <c r="G17" s="54"/>
    </row>
    <row r="18" spans="1:7" ht="23" x14ac:dyDescent="0.35">
      <c r="A18" s="55" t="s">
        <v>547</v>
      </c>
      <c r="B18" s="56" t="s">
        <v>548</v>
      </c>
      <c r="C18" s="55" t="s">
        <v>280</v>
      </c>
      <c r="D18" s="56" t="s">
        <v>281</v>
      </c>
      <c r="E18" s="55" t="s">
        <v>268</v>
      </c>
      <c r="F18" s="56" t="s">
        <v>28</v>
      </c>
      <c r="G18" s="56"/>
    </row>
    <row r="19" spans="1:7" ht="23" x14ac:dyDescent="0.35">
      <c r="A19" s="53" t="s">
        <v>549</v>
      </c>
      <c r="B19" s="54" t="s">
        <v>550</v>
      </c>
      <c r="C19" s="53" t="s">
        <v>185</v>
      </c>
      <c r="D19" s="54" t="s">
        <v>186</v>
      </c>
      <c r="E19" s="53" t="s">
        <v>27</v>
      </c>
      <c r="F19" s="54" t="s">
        <v>28</v>
      </c>
      <c r="G19" s="54"/>
    </row>
    <row r="20" spans="1:7" ht="23" x14ac:dyDescent="0.35">
      <c r="A20" s="55" t="s">
        <v>172</v>
      </c>
      <c r="B20" s="56" t="s">
        <v>551</v>
      </c>
      <c r="C20" s="55" t="s">
        <v>25</v>
      </c>
      <c r="D20" s="56" t="s">
        <v>26</v>
      </c>
      <c r="E20" s="55" t="s">
        <v>27</v>
      </c>
      <c r="F20" s="56" t="s">
        <v>29</v>
      </c>
      <c r="G20" s="56"/>
    </row>
    <row r="21" spans="1:7" ht="23" x14ac:dyDescent="0.35">
      <c r="A21" s="53" t="s">
        <v>185</v>
      </c>
      <c r="B21" s="54" t="s">
        <v>552</v>
      </c>
      <c r="C21" s="53" t="s">
        <v>46</v>
      </c>
      <c r="D21" s="54" t="s">
        <v>47</v>
      </c>
      <c r="E21" s="53" t="s">
        <v>27</v>
      </c>
      <c r="F21" s="54" t="s">
        <v>29</v>
      </c>
      <c r="G21" s="54"/>
    </row>
    <row r="22" spans="1:7" ht="23" x14ac:dyDescent="0.35">
      <c r="A22" s="55" t="s">
        <v>197</v>
      </c>
      <c r="B22" s="56" t="s">
        <v>553</v>
      </c>
      <c r="C22" s="55" t="s">
        <v>59</v>
      </c>
      <c r="D22" s="56" t="s">
        <v>60</v>
      </c>
      <c r="E22" s="55" t="s">
        <v>27</v>
      </c>
      <c r="F22" s="56" t="s">
        <v>554</v>
      </c>
      <c r="G22" s="56"/>
    </row>
    <row r="23" spans="1:7" ht="34.5" x14ac:dyDescent="0.35">
      <c r="A23" s="53" t="s">
        <v>212</v>
      </c>
      <c r="B23" s="54" t="s">
        <v>555</v>
      </c>
      <c r="C23" s="53" t="s">
        <v>556</v>
      </c>
      <c r="D23" s="54" t="s">
        <v>557</v>
      </c>
      <c r="E23" s="53" t="s">
        <v>558</v>
      </c>
      <c r="F23" s="54" t="s">
        <v>28</v>
      </c>
      <c r="G23" s="54" t="s">
        <v>559</v>
      </c>
    </row>
    <row r="24" spans="1:7" ht="23" x14ac:dyDescent="0.35">
      <c r="A24" s="55" t="s">
        <v>228</v>
      </c>
      <c r="B24" s="56" t="s">
        <v>560</v>
      </c>
      <c r="C24" s="55" t="s">
        <v>212</v>
      </c>
      <c r="D24" s="56" t="s">
        <v>213</v>
      </c>
      <c r="E24" s="55" t="s">
        <v>27</v>
      </c>
      <c r="F24" s="56" t="s">
        <v>28</v>
      </c>
      <c r="G24" s="56" t="s">
        <v>561</v>
      </c>
    </row>
    <row r="25" spans="1:7" ht="23" x14ac:dyDescent="0.35">
      <c r="A25" s="53" t="s">
        <v>241</v>
      </c>
      <c r="B25" s="54" t="s">
        <v>562</v>
      </c>
      <c r="C25" s="53" t="s">
        <v>228</v>
      </c>
      <c r="D25" s="54" t="s">
        <v>229</v>
      </c>
      <c r="E25" s="53" t="s">
        <v>27</v>
      </c>
      <c r="F25" s="54" t="s">
        <v>41</v>
      </c>
      <c r="G25" s="54"/>
    </row>
    <row r="26" spans="1:7" ht="23" x14ac:dyDescent="0.35">
      <c r="A26" s="55" t="s">
        <v>254</v>
      </c>
      <c r="B26" s="56" t="s">
        <v>563</v>
      </c>
      <c r="C26" s="55" t="s">
        <v>266</v>
      </c>
      <c r="D26" s="56" t="s">
        <v>267</v>
      </c>
      <c r="E26" s="55" t="s">
        <v>268</v>
      </c>
      <c r="F26" s="56" t="s">
        <v>41</v>
      </c>
      <c r="G26" s="56"/>
    </row>
    <row r="27" spans="1:7" ht="23" x14ac:dyDescent="0.35">
      <c r="A27" s="53" t="s">
        <v>266</v>
      </c>
      <c r="B27" s="54" t="s">
        <v>564</v>
      </c>
      <c r="C27" s="53" t="s">
        <v>317</v>
      </c>
      <c r="D27" s="54" t="s">
        <v>318</v>
      </c>
      <c r="E27" s="53" t="s">
        <v>268</v>
      </c>
      <c r="F27" s="54" t="s">
        <v>41</v>
      </c>
      <c r="G27" s="54"/>
    </row>
    <row r="28" spans="1:7" ht="23" x14ac:dyDescent="0.35">
      <c r="A28" s="55" t="s">
        <v>280</v>
      </c>
      <c r="B28" s="56" t="s">
        <v>565</v>
      </c>
      <c r="C28" s="55" t="s">
        <v>329</v>
      </c>
      <c r="D28" s="56" t="s">
        <v>330</v>
      </c>
      <c r="E28" s="55" t="s">
        <v>268</v>
      </c>
      <c r="F28" s="56" t="s">
        <v>41</v>
      </c>
      <c r="G28" s="56" t="s">
        <v>566</v>
      </c>
    </row>
    <row r="29" spans="1:7" ht="34.5" x14ac:dyDescent="0.35">
      <c r="A29" s="53" t="s">
        <v>301</v>
      </c>
      <c r="B29" s="54" t="s">
        <v>567</v>
      </c>
      <c r="C29" s="53" t="s">
        <v>345</v>
      </c>
      <c r="D29" s="54" t="s">
        <v>346</v>
      </c>
      <c r="E29" s="53" t="s">
        <v>268</v>
      </c>
      <c r="F29" s="54" t="s">
        <v>41</v>
      </c>
      <c r="G29" s="54"/>
    </row>
    <row r="30" spans="1:7" ht="23" x14ac:dyDescent="0.35">
      <c r="A30" s="55" t="s">
        <v>317</v>
      </c>
      <c r="B30" s="56" t="s">
        <v>568</v>
      </c>
      <c r="C30" s="55" t="s">
        <v>362</v>
      </c>
      <c r="D30" s="56" t="s">
        <v>363</v>
      </c>
      <c r="E30" s="55" t="s">
        <v>268</v>
      </c>
      <c r="F30" s="56" t="s">
        <v>28</v>
      </c>
      <c r="G30" s="56"/>
    </row>
    <row r="31" spans="1:7" ht="34.5" x14ac:dyDescent="0.35">
      <c r="A31" s="53" t="s">
        <v>329</v>
      </c>
      <c r="B31" s="54" t="s">
        <v>569</v>
      </c>
      <c r="C31" s="53" t="s">
        <v>375</v>
      </c>
      <c r="D31" s="54" t="s">
        <v>376</v>
      </c>
      <c r="E31" s="53" t="s">
        <v>268</v>
      </c>
      <c r="F31" s="54" t="s">
        <v>41</v>
      </c>
      <c r="G31" s="54"/>
    </row>
    <row r="32" spans="1:7" ht="23" x14ac:dyDescent="0.35">
      <c r="A32" s="55" t="s">
        <v>345</v>
      </c>
      <c r="B32" s="56" t="s">
        <v>570</v>
      </c>
      <c r="C32" s="55" t="s">
        <v>241</v>
      </c>
      <c r="D32" s="56" t="s">
        <v>242</v>
      </c>
      <c r="E32" s="55" t="s">
        <v>27</v>
      </c>
      <c r="F32" s="56" t="s">
        <v>41</v>
      </c>
      <c r="G32" s="56"/>
    </row>
    <row r="33" spans="1:7" ht="34.5" x14ac:dyDescent="0.35">
      <c r="A33" s="53" t="s">
        <v>362</v>
      </c>
      <c r="B33" s="54" t="s">
        <v>571</v>
      </c>
      <c r="C33" s="53" t="s">
        <v>74</v>
      </c>
      <c r="D33" s="54" t="s">
        <v>75</v>
      </c>
      <c r="E33" s="53" t="s">
        <v>27</v>
      </c>
      <c r="F33" s="54" t="s">
        <v>554</v>
      </c>
      <c r="G33" s="54" t="s">
        <v>572</v>
      </c>
    </row>
    <row r="34" spans="1:7" ht="34.5" x14ac:dyDescent="0.35">
      <c r="A34" s="55" t="s">
        <v>375</v>
      </c>
      <c r="B34" s="56" t="s">
        <v>573</v>
      </c>
      <c r="C34" s="55" t="s">
        <v>388</v>
      </c>
      <c r="D34" s="56" t="s">
        <v>389</v>
      </c>
      <c r="E34" s="55" t="s">
        <v>268</v>
      </c>
      <c r="F34" s="56" t="s">
        <v>41</v>
      </c>
      <c r="G34" s="56"/>
    </row>
    <row r="35" spans="1:7" ht="34.5" x14ac:dyDescent="0.35">
      <c r="A35" s="53" t="s">
        <v>388</v>
      </c>
      <c r="B35" s="54" t="s">
        <v>574</v>
      </c>
      <c r="C35" s="53" t="s">
        <v>254</v>
      </c>
      <c r="D35" s="54" t="s">
        <v>255</v>
      </c>
      <c r="E35" s="53" t="s">
        <v>27</v>
      </c>
      <c r="F35" s="54" t="s">
        <v>28</v>
      </c>
      <c r="G35" s="54" t="s">
        <v>575</v>
      </c>
    </row>
    <row r="37" spans="1:7" s="78" customFormat="1" ht="15.5" x14ac:dyDescent="0.35">
      <c r="A37" s="77" t="s">
        <v>576</v>
      </c>
      <c r="B37" s="77"/>
      <c r="C37" s="77"/>
      <c r="D37" s="77"/>
      <c r="E37" s="77"/>
      <c r="F37" s="77"/>
      <c r="G37" s="77"/>
    </row>
    <row r="38" spans="1:7" s="71" customFormat="1" ht="26" x14ac:dyDescent="0.3">
      <c r="A38" s="76" t="s">
        <v>2</v>
      </c>
      <c r="B38" s="76" t="s">
        <v>12</v>
      </c>
      <c r="C38" s="76" t="s">
        <v>403</v>
      </c>
      <c r="D38" s="76" t="s">
        <v>577</v>
      </c>
      <c r="E38" s="76" t="s">
        <v>578</v>
      </c>
      <c r="F38" s="76" t="s">
        <v>579</v>
      </c>
      <c r="G38" s="76" t="s">
        <v>24</v>
      </c>
    </row>
    <row r="39" spans="1:7" ht="23" x14ac:dyDescent="0.35">
      <c r="A39" s="73">
        <v>1</v>
      </c>
      <c r="B39" s="42" t="s">
        <v>580</v>
      </c>
      <c r="C39" s="42" t="s">
        <v>581</v>
      </c>
      <c r="D39" s="73">
        <v>20993</v>
      </c>
      <c r="E39" s="42" t="s">
        <v>582</v>
      </c>
      <c r="F39" s="42" t="s">
        <v>583</v>
      </c>
      <c r="G39" s="42" t="s">
        <v>584</v>
      </c>
    </row>
    <row r="40" spans="1:7" ht="34.5" x14ac:dyDescent="0.35">
      <c r="A40" s="73">
        <v>2</v>
      </c>
      <c r="B40" s="42" t="s">
        <v>180</v>
      </c>
      <c r="C40" s="42" t="s">
        <v>581</v>
      </c>
      <c r="D40" s="73">
        <v>78566</v>
      </c>
      <c r="E40" s="42" t="s">
        <v>585</v>
      </c>
      <c r="F40" s="42" t="s">
        <v>586</v>
      </c>
      <c r="G40" s="42" t="s">
        <v>587</v>
      </c>
    </row>
    <row r="41" spans="1:7" ht="23" x14ac:dyDescent="0.35">
      <c r="A41" s="74">
        <v>3</v>
      </c>
      <c r="B41" s="75" t="s">
        <v>588</v>
      </c>
      <c r="C41" s="75" t="s">
        <v>581</v>
      </c>
      <c r="D41" s="74">
        <v>10356</v>
      </c>
      <c r="E41" s="75" t="s">
        <v>589</v>
      </c>
      <c r="F41" s="75" t="s">
        <v>590</v>
      </c>
      <c r="G41" s="75" t="s">
        <v>591</v>
      </c>
    </row>
    <row r="42" spans="1:7" ht="23" x14ac:dyDescent="0.35">
      <c r="A42" s="73">
        <v>4</v>
      </c>
      <c r="B42" s="42" t="s">
        <v>592</v>
      </c>
      <c r="C42" s="42" t="s">
        <v>581</v>
      </c>
      <c r="D42" s="73">
        <v>83939</v>
      </c>
      <c r="E42" s="42" t="s">
        <v>593</v>
      </c>
      <c r="F42" s="42" t="s">
        <v>590</v>
      </c>
      <c r="G42" s="42" t="s">
        <v>594</v>
      </c>
    </row>
    <row r="43" spans="1:7" ht="23" x14ac:dyDescent="0.35">
      <c r="A43" s="74">
        <v>5</v>
      </c>
      <c r="B43" s="75" t="s">
        <v>249</v>
      </c>
      <c r="C43" s="75" t="s">
        <v>581</v>
      </c>
      <c r="D43" s="74">
        <v>11922</v>
      </c>
      <c r="E43" s="75" t="s">
        <v>595</v>
      </c>
      <c r="F43" s="75" t="s">
        <v>596</v>
      </c>
      <c r="G43" s="75" t="s">
        <v>597</v>
      </c>
    </row>
    <row r="44" spans="1:7" ht="23" x14ac:dyDescent="0.35">
      <c r="A44" s="73">
        <v>6</v>
      </c>
      <c r="B44" s="42" t="s">
        <v>598</v>
      </c>
      <c r="C44" s="42" t="s">
        <v>581</v>
      </c>
      <c r="D44" s="73">
        <v>22212</v>
      </c>
      <c r="E44" s="42" t="s">
        <v>599</v>
      </c>
      <c r="F44" s="42" t="s">
        <v>600</v>
      </c>
      <c r="G44" s="42" t="s">
        <v>601</v>
      </c>
    </row>
    <row r="45" spans="1:7" ht="23" x14ac:dyDescent="0.35">
      <c r="A45" s="73">
        <v>7</v>
      </c>
      <c r="B45" s="42" t="s">
        <v>602</v>
      </c>
      <c r="C45" s="42" t="s">
        <v>581</v>
      </c>
      <c r="D45" s="73">
        <v>65027</v>
      </c>
      <c r="E45" s="42" t="s">
        <v>599</v>
      </c>
      <c r="F45" s="42" t="s">
        <v>590</v>
      </c>
      <c r="G45" s="42" t="s">
        <v>603</v>
      </c>
    </row>
    <row r="46" spans="1:7" ht="23" x14ac:dyDescent="0.35">
      <c r="A46" s="74">
        <v>8</v>
      </c>
      <c r="B46" s="75" t="s">
        <v>104</v>
      </c>
      <c r="C46" s="75" t="s">
        <v>604</v>
      </c>
      <c r="D46" s="74">
        <v>19914</v>
      </c>
      <c r="E46" s="75" t="s">
        <v>605</v>
      </c>
      <c r="F46" s="75" t="s">
        <v>606</v>
      </c>
      <c r="G46" s="75" t="s">
        <v>607</v>
      </c>
    </row>
    <row r="47" spans="1:7" ht="34.5" x14ac:dyDescent="0.35">
      <c r="A47" s="74">
        <v>9</v>
      </c>
      <c r="B47" s="75" t="s">
        <v>113</v>
      </c>
      <c r="C47" s="75" t="s">
        <v>604</v>
      </c>
      <c r="D47" s="74">
        <v>19688</v>
      </c>
      <c r="E47" s="75" t="s">
        <v>608</v>
      </c>
      <c r="F47" s="75" t="s">
        <v>609</v>
      </c>
      <c r="G47" s="75" t="s">
        <v>610</v>
      </c>
    </row>
    <row r="48" spans="1:7" ht="23" x14ac:dyDescent="0.35">
      <c r="A48" s="74">
        <v>10</v>
      </c>
      <c r="B48" s="75" t="s">
        <v>611</v>
      </c>
      <c r="C48" s="75" t="s">
        <v>604</v>
      </c>
      <c r="D48" s="74">
        <v>19712</v>
      </c>
      <c r="E48" s="75" t="s">
        <v>612</v>
      </c>
      <c r="F48" s="75" t="s">
        <v>613</v>
      </c>
      <c r="G48" s="75" t="s">
        <v>607</v>
      </c>
    </row>
    <row r="49" spans="1:7" ht="23" x14ac:dyDescent="0.35">
      <c r="A49" s="73">
        <v>11</v>
      </c>
      <c r="B49" s="42" t="s">
        <v>614</v>
      </c>
      <c r="C49" s="42" t="s">
        <v>604</v>
      </c>
      <c r="D49" s="73">
        <v>23059</v>
      </c>
      <c r="E49" s="42" t="s">
        <v>615</v>
      </c>
      <c r="F49" s="42" t="s">
        <v>616</v>
      </c>
      <c r="G49" s="42" t="s">
        <v>617</v>
      </c>
    </row>
  </sheetData>
  <mergeCells count="4">
    <mergeCell ref="A1:G1"/>
    <mergeCell ref="A2:G2"/>
    <mergeCell ref="A9:G9"/>
    <mergeCell ref="A37:G3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Ringkasan Evaluasi</vt:lpstr>
      <vt:lpstr>Detail Ground Truth</vt:lpstr>
      <vt:lpstr>Rekap Statistik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Hani Handayani</cp:lastModifiedBy>
  <cp:revision>0</cp:revision>
  <dcterms:created xsi:type="dcterms:W3CDTF">2026-07-08T00:00:26Z</dcterms:created>
  <dcterms:modified xsi:type="dcterms:W3CDTF">2026-07-08T10:33:33Z</dcterms:modified>
  <dc:language>en-US</dc:language>
</cp:coreProperties>
</file>